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mba\projetVitrine\"/>
    </mc:Choice>
  </mc:AlternateContent>
  <xr:revisionPtr revIDLastSave="0" documentId="13_ncr:1_{0734BEBC-919C-4C88-A739-5F4106EE2316}" xr6:coauthVersionLast="47" xr6:coauthVersionMax="47" xr10:uidLastSave="{00000000-0000-0000-0000-000000000000}"/>
  <bookViews>
    <workbookView xWindow="-110" yWindow="-110" windowWidth="19420" windowHeight="10300" tabRatio="479" xr2:uid="{00000000-000D-0000-FFFF-FFFF00000000}"/>
  </bookViews>
  <sheets>
    <sheet name="Grille EVAL_V1 ETUDIANT" sheetId="3" r:id="rId1"/>
    <sheet name="Grille EVAL_V1 PROF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B8" i="6"/>
  <c r="E91" i="6"/>
  <c r="E84" i="6"/>
  <c r="E90" i="6" s="1"/>
  <c r="A19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89" i="6" s="1"/>
  <c r="B9" i="6"/>
  <c r="B9" i="3"/>
  <c r="E27" i="3"/>
  <c r="E91" i="3"/>
  <c r="E84" i="3"/>
  <c r="E90" i="3" s="1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6" i="3"/>
  <c r="E25" i="3"/>
  <c r="E24" i="3"/>
  <c r="E23" i="3"/>
  <c r="A19" i="3"/>
  <c r="E76" i="3" l="1"/>
  <c r="E89" i="3" s="1"/>
</calcChain>
</file>

<file path=xl/sharedStrings.xml><?xml version="1.0" encoding="utf-8"?>
<sst xmlns="http://schemas.openxmlformats.org/spreadsheetml/2006/main" count="223" uniqueCount="107">
  <si>
    <t>Grille d'Évaluation : EVAL_V1</t>
  </si>
  <si>
    <t>Note importante : Une justification est obligatoire pour tout critère non validé de la Section 2 et pour chaque critère de la Section 3.</t>
  </si>
  <si>
    <t>Projet:</t>
  </si>
  <si>
    <t>Plateforme d'Événement (MVP)</t>
  </si>
  <si>
    <t>Évaluation:</t>
  </si>
  <si>
    <t>EVAL_V1 - Conception et Structure</t>
  </si>
  <si>
    <t>Date limite:</t>
  </si>
  <si>
    <t>27 octobre 2025 23h55</t>
  </si>
  <si>
    <t>Nom et prénom de l'étudiant:</t>
  </si>
  <si>
    <t>Nom Prénom</t>
  </si>
  <si>
    <t>Matricule:</t>
  </si>
  <si>
    <t>q250000</t>
  </si>
  <si>
    <t>Section 1 : Critères de Recevabilité</t>
  </si>
  <si>
    <r>
      <rPr>
        <sz val="16"/>
        <color rgb="FF000000"/>
        <rFont val="Calibri"/>
      </rPr>
      <t xml:space="preserve">Si un seul de ces critères n'est pas respecté, le travail est considéré comme non recevable et la note finale sera de </t>
    </r>
    <r>
      <rPr>
        <sz val="16"/>
        <color rgb="FFE26B0A"/>
        <rFont val="Calibri"/>
      </rPr>
      <t>0/20.</t>
    </r>
  </si>
  <si>
    <t>Critère</t>
  </si>
  <si>
    <t>Justification / Commentaire</t>
  </si>
  <si>
    <t>Validé</t>
  </si>
  <si>
    <t>Dépôt réalisé dans les délais (date de dernière modification 27 octobre à 23h55)</t>
  </si>
  <si>
    <t>Url correcte, le fichier `index.html` doit-être déposé dans le dossier \public_html\EVAL_V1 sur Panoramix</t>
  </si>
  <si>
    <t>L'archive contient les wireframes pour toutes les 7 pages demandées.</t>
  </si>
  <si>
    <t>Le fichier `index.html` respecte bien les maquettes en terme de contenu.</t>
  </si>
  <si>
    <t>Ce document d'auto-évaluation est bien complété et ne contient pas plus de 3 inexactitudes.</t>
  </si>
  <si>
    <t>Section 2 : Checklist Fonctionnelle</t>
  </si>
  <si>
    <t>Livrable Principal</t>
  </si>
  <si>
    <t>Sous-Tâche à Réaliser</t>
  </si>
  <si>
    <t>Commentaires</t>
  </si>
  <si>
    <t>Note</t>
  </si>
  <si>
    <t>Composant Global : En-tête (Header)</t>
  </si>
  <si>
    <t>La structure est conçue pour être identique et réutilisable sur toutes les pages.</t>
  </si>
  <si>
    <t>Un emplacement pour le logo de l'événement est clairement défini.</t>
  </si>
  <si>
    <t>La navigation principale, en mode visiteur, comprend des liens vers l'accueil, la page Artistes, la page Prestations, la page Contact.</t>
  </si>
  <si>
    <t>Composant Global : Pied de page (Footer)</t>
  </si>
  <si>
    <t>Une zone distincte en bas de page est clairement identifiée comme le pied de page (`&lt;footer&gt;`).</t>
  </si>
  <si>
    <t>Le pied de page contient le nom de l'événement et une mention de copyright fictive (ex: "© 2025 Mon Festival").</t>
  </si>
  <si>
    <t>Maquette 1 : Page d'Accueil (UC-A.4)</t>
  </si>
  <si>
    <t>Un titre de page principal est présent (ex: "Programme de la Journée").</t>
  </si>
  <si>
    <t>Un court bloc de texte est présent pour la brève présentation de l'événement.</t>
  </si>
  <si>
    <t>La maquette représente le programme sous forme de grille ou de tableau.</t>
  </si>
  <si>
    <t>La première ligne sert d'en-tête et contient les noms des différentes scènes dans les colonnes.</t>
  </si>
  <si>
    <t>La première colonne identifie les créneaux horaires (ex: "14h00"), triés par ordre chronologique.</t>
  </si>
  <si>
    <t xml:space="preserve"> La grille affiche uniquement les lignes horaire où au moins une prestation est programmée (pas de lignes entièrement vides).</t>
  </si>
  <si>
    <t>Pour une prestation programmée, est affiché dans l'horaire le titre de la prestation et le nom de l'artiste. Cf. Cahier des charges.</t>
  </si>
  <si>
    <t>Maquette 2 : Page "Artistes" (UC-A.5)</t>
  </si>
  <si>
    <t>Un titre de page clair est présent (ex: "Découvrez nos Artistes").</t>
  </si>
  <si>
    <t>La liste des artistes est présentée sous forme de grille multicolonnes, permettant un affichage côte à côte sur écran large, et comporte un nombre suffisant de vignettes (au moins 3 ou 4) pour simuler une galerie réelle et vérifier la cohérence de l’alignement.</t>
  </si>
  <si>
    <t>La maquette montre explicitement le cas d'un artiste programmé (avec les détails de sa programmation) ET le cas d'un artiste non programmé pour visualiser la différence.</t>
  </si>
  <si>
    <t>Chaque vignette d’artiste est conçue comme un bloc visuel distinct (carte avec bordure ou ombre) et comprend la photo et le nom de l'artiste.</t>
  </si>
  <si>
    <t>Pour la vignette de l’artiste programmé, en plus de la photo et du nom, une section dédiée à sa programmation est visible et présente la liste de ses prestations planifiées.</t>
  </si>
  <si>
    <t>Pour chaque prestation dans cette liste, le créneau horaire, le nom de la scène et le nom de l'artiste sont visibles (ex: "14h - Scène Principale - Marionnettes").</t>
  </si>
  <si>
    <t>Maquette 3 : Page "Profil d'un Artiste" (UC-A.5)</t>
  </si>
  <si>
    <t>Un titre de page est présent, incluant le nom de l'artiste (ex: "Profil de : Les Répétiteurs").</t>
  </si>
  <si>
    <t>La photo de l'artiste est affichée en grand format.</t>
  </si>
  <si>
    <t>Les informations textuelles complètes de l'artiste sont visibles : nom, prénom, nom d'artiste, description/biographie.</t>
  </si>
  <si>
    <t>Un sous-titre clair sépare les informations de l'artiste de son catalogue (ex: "Ses Prestations").</t>
  </si>
  <si>
    <t>La liste des prestations est présentée sous forme de grille multicolonnes, permettant un affichage côte à côte sur écran large, et comporte un nombre suffisant de prestations pour simuler une galerie réelle et vérifier la cohérence de l’alignement.</t>
  </si>
  <si>
    <t>La maquette illustre les deux cas de figure pour les prestations listées : au moins une prestation programmée et une prestation non programmée.</t>
  </si>
  <si>
    <t>Chaque vignette de prestation est conçue comme un bloc visuel distinct  et comprend l'image et le titre de la prestation.</t>
  </si>
  <si>
    <t>Si la prestation est programmée,  l'heure/les heures,  le nom de la/des scène(s) sont visibles.</t>
  </si>
  <si>
    <t>Maquette 4 : Page "Prestations" (UC-A.6)</t>
  </si>
  <si>
    <t>Un titre de page clair est présent (ex: "Catalogue des Prestations").</t>
  </si>
  <si>
    <t>Le formulaire de recherche contient un champ de saisie de texte pour la recherche par mot-clé et un libellé représentatif.</t>
  </si>
  <si>
    <t>Le formulaire de recherche contient une  liste déroulante pour filtrer par artiste. et un libellé représentatif.</t>
  </si>
  <si>
    <t>Le formulaire de recherche contient une  liste déroulante pour filtrer par catégorie. et un libellé représentatif.</t>
  </si>
  <si>
    <t>Chaque vignette de prestation est conçue comme un bloc visuel distinct  et comprend l'image et le titre de la prestation et le nom de l'artiste qui la propose.</t>
  </si>
  <si>
    <t>Maquette 5 : Espace Artiste - Tableau de Bord (UC-C.4)</t>
  </si>
  <si>
    <t>Un titre de page clair est présent (ex: "Mon Tableau de Bord").</t>
  </si>
  <si>
    <t>Résumé Profil : Contient la photo de profil et le nom de l'artiste.</t>
  </si>
  <si>
    <t>Programmation : Une liste simple des prestations programmées est affichée (Heure, Scène, Titre).</t>
  </si>
  <si>
    <t>Maquette 6 : Espace Organisateur - Gestion du Programme (UC-D.1 &amp; D.2)</t>
  </si>
  <si>
    <t>Espace Orga : Un titre de page clair est présent (ex: "Gestion du Programme").</t>
  </si>
  <si>
    <t>Espace Orga : La possibilité  "Planifier une prestation" est présente et clairement visible.</t>
  </si>
  <si>
    <t>Grille Programme : La structure est identique à celle de la page d'accueil (Maquette 1).</t>
  </si>
  <si>
    <t>Cellule d'événement : Le contenu est identique à la vue publique (Titre, Nom artiste).</t>
  </si>
  <si>
    <t>Cellule d'événement : Contient un bouton/icône pour "Déprogrammer".</t>
  </si>
  <si>
    <t>Maquette 7 : Assistant de Planification - Étape 1 (UC-D.1)</t>
  </si>
  <si>
    <t>Assistant Planif. : Le titre indique "Étape 1/3 : Choisissez un créneau horaire".</t>
  </si>
  <si>
    <t>Assistant Planif. : L'unique champ est une liste déroulante avec le libellé "*Heure".</t>
  </si>
  <si>
    <t>Assistant Planif. : La possibilité de passer à l'étape suivante est présente et clairement visible.</t>
  </si>
  <si>
    <t>Assistant Planif. : La possibilité d'annuler est présente et clairement visible.</t>
  </si>
  <si>
    <t>POINTS TOTAUX FONCTIONNELS</t>
  </si>
  <si>
    <t>Section 3 : Évaluation Qualitative</t>
  </si>
  <si>
    <r>
      <rPr>
        <sz val="16"/>
        <color rgb="FF000000"/>
        <rFont val="Calibri"/>
        <scheme val="minor"/>
      </rPr>
      <t>Cette section évalue la qualité globale du projet.</t>
    </r>
    <r>
      <rPr>
        <sz val="16"/>
        <color rgb="FFE26B0A"/>
        <rFont val="Calibri"/>
        <scheme val="minor"/>
      </rPr>
      <t xml:space="preserve"> Une justification est obligatoire pour chaque critère.</t>
    </r>
  </si>
  <si>
    <t>Justification / Feedback</t>
  </si>
  <si>
    <t>Clarté et Ergonomie des Wireframes.</t>
  </si>
  <si>
    <t>Exemple : Les wireframes sont clairs et la navigation est intuitive. J'ai utilisé une grille pour la page artistes afin de bien montrer la différence entre un artiste programmé et non programmé.</t>
  </si>
  <si>
    <t>Qualité de la Sémantique HTML (`index.html`).</t>
  </si>
  <si>
    <t>Exemple : J'ai bien utilisé les balises &lt;header&gt;, &lt;footer&gt;, &lt;main&gt;, et &lt;section&gt; pour structurer ma page. La hiérarchie des titres est respectée.</t>
  </si>
  <si>
    <t>Validation W3C du fichier `index.html`.</t>
  </si>
  <si>
    <t>Exemple : Mon fichier index.html passe la validation W3C sans aucune erreur. J'ai vérifié sur le site officiel du validateur.</t>
  </si>
  <si>
    <t>POINTS TOTAUX QUALITATIFS</t>
  </si>
  <si>
    <t>Synthèse &amp; Note Finale</t>
  </si>
  <si>
    <t>Condition de réussite : La note finale est de 0/20 si tous les critères de recevabilité ne sont pas validés. La note est plafonnée à 7/20 si la note de la Section 2 OU de la Section 3 est inférieure à 10/20. Si les deux notes sont suppérieures à 10, alors la note finale est la moyenne.</t>
  </si>
  <si>
    <t>Section</t>
  </si>
  <si>
    <t>Note Fonctionnelle</t>
  </si>
  <si>
    <t>Note Qualitative</t>
  </si>
  <si>
    <t>NOTE FINALE</t>
  </si>
  <si>
    <t>Url eval :</t>
  </si>
  <si>
    <t>En mode visiteur, lien(s) pour la Connexion / Inscription sont présents</t>
  </si>
  <si>
    <t>En mode connecté, le nom/prenom de l'utilisateur et la possibilité de se déconnecter sont présents.</t>
  </si>
  <si>
    <t>Une zone de filtre est positionnée en haut de la page, avant la liste des artistes et contient un unique élément interactif : une case à cocher, suivi d'un libellé représentatif.</t>
  </si>
  <si>
    <t>La maquette  comporte  au minimum une vignette illustrant une prestation programmée et une non programmée.</t>
  </si>
  <si>
    <t>La possibilité "Éditer mon profil" est présente et clairement visible.</t>
  </si>
  <si>
    <t>La possibilité "Gérer mon catalogue de prestations" est présente et clairement visible.</t>
  </si>
  <si>
    <t>Le formulaire de recherche contient une case à cocher avec un libellé représentatif.</t>
  </si>
  <si>
    <t>La maquette montre des cellules vides pour les scènes qui sont libres sur un créneau horaire.</t>
  </si>
  <si>
    <t>Règle de Notation : La note est calculée sur la base des 53 éléments ci-dessous. Pour obtenir 10/20, un minimum de 40 éléments (75%) doit être validé. En dessous, la note est de 0. Entre 40 et 53 éléments, la note augmente de façon linéaire de 10 à 20.</t>
  </si>
  <si>
    <t>Pas encore possible de le faire sans 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</si>
</sst>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/1&quot;"/>
    <numFmt numFmtId="165" formatCode="0.0&quot;/20&quot;"/>
    <numFmt numFmtId="166" formatCode="0&quot;/8&quot;"/>
    <numFmt numFmtId="167" formatCode="0&quot;/4&quot;"/>
    <numFmt numFmtId="168" formatCode="0&quot;/20&quot;"/>
  </numFmts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color rgb="FF0000FF"/>
      <name val="Calibri"/>
    </font>
    <font>
      <b/>
      <sz val="16"/>
      <color rgb="FFFF0000"/>
      <name val="Calibri"/>
      <scheme val="minor"/>
    </font>
    <font>
      <b/>
      <sz val="12"/>
      <name val="Calibri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</font>
    <font>
      <sz val="16"/>
      <color rgb="FF000000"/>
      <name val="Calibri"/>
      <scheme val="minor"/>
    </font>
    <font>
      <sz val="11"/>
      <color rgb="FF0000FF"/>
      <name val="Calibri"/>
      <family val="2"/>
      <scheme val="minor"/>
    </font>
    <font>
      <sz val="16"/>
      <color rgb="FF000000"/>
      <name val="Calibri"/>
    </font>
    <font>
      <sz val="16"/>
      <color rgb="FFE26B0A"/>
      <name val="Calibri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E26B0A"/>
      <name val="Calibri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A6A8A"/>
        <bgColor rgb="FF4A6A8A"/>
      </patternFill>
    </fill>
    <fill>
      <patternFill patternType="solid">
        <fgColor rgb="FF708090"/>
        <bgColor rgb="FF708090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1" xfId="0" applyFont="1" applyBorder="1" applyAlignment="1">
      <alignment vertical="top" wrapText="1" indent="1"/>
    </xf>
    <xf numFmtId="0" fontId="2" fillId="4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vertical="top" wrapText="1" indent="1"/>
    </xf>
    <xf numFmtId="168" fontId="4" fillId="4" borderId="1" xfId="0" applyNumberFormat="1" applyFont="1" applyFill="1" applyBorder="1" applyAlignment="1">
      <alignment vertical="top" wrapText="1" indent="1"/>
    </xf>
    <xf numFmtId="0" fontId="2" fillId="4" borderId="1" xfId="0" applyFont="1" applyFill="1" applyBorder="1" applyAlignment="1">
      <alignment horizontal="center" vertical="top" wrapText="1" indent="1"/>
    </xf>
    <xf numFmtId="0" fontId="0" fillId="5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vertical="center" wrapText="1" indent="1"/>
    </xf>
    <xf numFmtId="0" fontId="2" fillId="0" borderId="14" xfId="0" applyFont="1" applyBorder="1" applyAlignment="1">
      <alignment vertical="center" wrapText="1" indent="1"/>
    </xf>
    <xf numFmtId="0" fontId="8" fillId="0" borderId="0" xfId="0" applyFont="1"/>
    <xf numFmtId="0" fontId="0" fillId="5" borderId="1" xfId="0" applyFill="1" applyBorder="1" applyAlignment="1">
      <alignment horizontal="left" vertical="center" wrapText="1" indent="1"/>
    </xf>
    <xf numFmtId="0" fontId="0" fillId="6" borderId="1" xfId="0" applyFill="1" applyBorder="1" applyAlignment="1">
      <alignment horizontal="left" vertical="center" wrapText="1" indent="1"/>
    </xf>
    <xf numFmtId="164" fontId="4" fillId="5" borderId="1" xfId="0" applyNumberFormat="1" applyFont="1" applyFill="1" applyBorder="1" applyAlignment="1">
      <alignment horizontal="center" vertical="center" wrapText="1" indent="1"/>
    </xf>
    <xf numFmtId="0" fontId="0" fillId="0" borderId="1" xfId="0" applyBorder="1" applyAlignment="1">
      <alignment horizontal="left" vertical="center" wrapText="1" indent="1"/>
    </xf>
    <xf numFmtId="166" fontId="12" fillId="6" borderId="1" xfId="0" applyNumberFormat="1" applyFont="1" applyFill="1" applyBorder="1" applyAlignment="1">
      <alignment horizontal="center" vertical="center" wrapText="1"/>
    </xf>
    <xf numFmtId="166" fontId="12" fillId="5" borderId="1" xfId="0" applyNumberFormat="1" applyFont="1" applyFill="1" applyBorder="1" applyAlignment="1">
      <alignment horizontal="center" vertical="center" wrapText="1"/>
    </xf>
    <xf numFmtId="167" fontId="12" fillId="6" borderId="1" xfId="0" applyNumberFormat="1" applyFont="1" applyFill="1" applyBorder="1" applyAlignment="1">
      <alignment horizontal="center" vertical="center" wrapText="1"/>
    </xf>
    <xf numFmtId="168" fontId="4" fillId="0" borderId="1" xfId="0" applyNumberFormat="1" applyFont="1" applyBorder="1" applyAlignment="1">
      <alignment vertical="top" wrapText="1" indent="1"/>
    </xf>
    <xf numFmtId="165" fontId="4" fillId="0" borderId="1" xfId="0" applyNumberFormat="1" applyFont="1" applyBorder="1" applyAlignment="1">
      <alignment vertical="top" wrapText="1" indent="1"/>
    </xf>
    <xf numFmtId="168" fontId="4" fillId="7" borderId="1" xfId="0" applyNumberFormat="1" applyFont="1" applyFill="1" applyBorder="1" applyAlignment="1">
      <alignment vertical="top" wrapText="1" indent="1"/>
    </xf>
    <xf numFmtId="0" fontId="0" fillId="9" borderId="1" xfId="0" applyFill="1" applyBorder="1" applyAlignment="1">
      <alignment horizontal="left" vertical="center" wrapText="1" indent="1"/>
    </xf>
    <xf numFmtId="0" fontId="9" fillId="9" borderId="1" xfId="0" applyFont="1" applyFill="1" applyBorder="1" applyAlignment="1">
      <alignment vertical="top" wrapText="1" inden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 indent="1"/>
    </xf>
    <xf numFmtId="0" fontId="2" fillId="4" borderId="1" xfId="0" applyFont="1" applyFill="1" applyBorder="1" applyAlignment="1">
      <alignment horizontal="right" vertical="top" wrapText="1" indent="1"/>
    </xf>
    <xf numFmtId="0" fontId="0" fillId="0" borderId="1" xfId="0" applyBorder="1" applyAlignment="1">
      <alignment horizontal="right" vertical="top" wrapText="1" indent="1"/>
    </xf>
    <xf numFmtId="0" fontId="0" fillId="0" borderId="1" xfId="0" applyBorder="1" applyAlignment="1">
      <alignment horizontal="right" vertical="center" wrapText="1"/>
    </xf>
    <xf numFmtId="0" fontId="10" fillId="5" borderId="1" xfId="0" applyFont="1" applyFill="1" applyBorder="1" applyAlignment="1">
      <alignment vertical="top" wrapText="1" indent="1"/>
    </xf>
    <xf numFmtId="0" fontId="0" fillId="0" borderId="1" xfId="0" applyBorder="1" applyAlignment="1">
      <alignment vertical="top" wrapText="1" indent="1"/>
    </xf>
    <xf numFmtId="0" fontId="0" fillId="0" borderId="1" xfId="0" applyBorder="1" applyAlignment="1">
      <alignment horizontal="center" vertical="center" wrapText="1"/>
    </xf>
    <xf numFmtId="0" fontId="10" fillId="6" borderId="1" xfId="0" applyFont="1" applyFill="1" applyBorder="1" applyAlignment="1">
      <alignment vertical="top" wrapText="1" indent="1"/>
    </xf>
    <xf numFmtId="0" fontId="2" fillId="4" borderId="2" xfId="0" applyFont="1" applyFill="1" applyBorder="1" applyAlignment="1">
      <alignment horizontal="right" vertical="top" wrapText="1" indent="1"/>
    </xf>
    <xf numFmtId="0" fontId="2" fillId="4" borderId="3" xfId="0" applyFont="1" applyFill="1" applyBorder="1" applyAlignment="1">
      <alignment horizontal="right" vertical="top" wrapText="1" indent="1"/>
    </xf>
    <xf numFmtId="0" fontId="2" fillId="4" borderId="4" xfId="0" applyFont="1" applyFill="1" applyBorder="1" applyAlignment="1">
      <alignment horizontal="right" vertical="top" wrapText="1" indent="1"/>
    </xf>
    <xf numFmtId="0" fontId="0" fillId="0" borderId="2" xfId="0" applyBorder="1" applyAlignment="1">
      <alignment horizontal="center" vertical="top" wrapText="1" indent="1"/>
    </xf>
    <xf numFmtId="0" fontId="0" fillId="0" borderId="3" xfId="0" applyBorder="1" applyAlignment="1">
      <alignment horizontal="center" vertical="top" wrapText="1" indent="1"/>
    </xf>
    <xf numFmtId="0" fontId="0" fillId="0" borderId="4" xfId="0" applyBorder="1" applyAlignment="1">
      <alignment horizontal="center" vertical="top" wrapText="1" indent="1"/>
    </xf>
    <xf numFmtId="0" fontId="3" fillId="3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top" wrapText="1" indent="1"/>
    </xf>
    <xf numFmtId="0" fontId="1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top" wrapText="1" indent="1"/>
    </xf>
    <xf numFmtId="0" fontId="0" fillId="9" borderId="1" xfId="0" applyFill="1" applyBorder="1" applyAlignment="1">
      <alignment vertical="top" wrapText="1" indent="1"/>
    </xf>
    <xf numFmtId="0" fontId="11" fillId="8" borderId="1" xfId="0" applyFont="1" applyFill="1" applyBorder="1" applyAlignment="1">
      <alignment horizontal="left" vertical="center" wrapText="1" indent="1"/>
    </xf>
    <xf numFmtId="0" fontId="0" fillId="8" borderId="1" xfId="0" applyFill="1" applyBorder="1" applyAlignment="1">
      <alignment horizontal="left" vertical="center" wrapText="1" indent="1"/>
    </xf>
    <xf numFmtId="0" fontId="0" fillId="8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top" wrapText="1" indent="1"/>
    </xf>
    <xf numFmtId="0" fontId="0" fillId="0" borderId="1" xfId="0" applyBorder="1" applyAlignment="1">
      <alignment horizontal="center" vertical="top" wrapText="1" indent="1"/>
    </xf>
    <xf numFmtId="0" fontId="13" fillId="8" borderId="1" xfId="0" applyFont="1" applyFill="1" applyBorder="1" applyAlignment="1">
      <alignment vertical="center" wrapText="1" indent="1"/>
    </xf>
    <xf numFmtId="0" fontId="0" fillId="8" borderId="1" xfId="0" applyFill="1" applyBorder="1" applyAlignment="1">
      <alignment vertical="center" wrapText="1" indent="1"/>
    </xf>
    <xf numFmtId="0" fontId="0" fillId="8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9" borderId="5" xfId="0" applyFont="1" applyFill="1" applyBorder="1" applyAlignment="1">
      <alignment horizontal="left" vertical="top" wrapText="1" indent="1"/>
    </xf>
    <xf numFmtId="0" fontId="2" fillId="9" borderId="6" xfId="0" applyFont="1" applyFill="1" applyBorder="1" applyAlignment="1">
      <alignment horizontal="left" vertical="top" wrapText="1" indent="1"/>
    </xf>
    <xf numFmtId="0" fontId="2" fillId="9" borderId="7" xfId="0" applyFont="1" applyFill="1" applyBorder="1" applyAlignment="1">
      <alignment horizontal="left" vertical="top" wrapText="1" indent="1"/>
    </xf>
    <xf numFmtId="0" fontId="16" fillId="0" borderId="2" xfId="0" applyFont="1" applyBorder="1" applyAlignment="1">
      <alignment horizontal="center" vertical="center" wrapText="1" indent="1"/>
    </xf>
    <xf numFmtId="0" fontId="16" fillId="0" borderId="3" xfId="0" applyFont="1" applyBorder="1" applyAlignment="1">
      <alignment horizontal="center" vertical="center" wrapText="1" indent="1"/>
    </xf>
    <xf numFmtId="0" fontId="16" fillId="0" borderId="4" xfId="0" applyFont="1" applyBorder="1" applyAlignment="1">
      <alignment horizontal="center" vertical="center" wrapText="1" indent="1"/>
    </xf>
    <xf numFmtId="0" fontId="11" fillId="8" borderId="1" xfId="0" applyFont="1" applyFill="1" applyBorder="1" applyAlignment="1">
      <alignment vertical="center" wrapText="1" indent="1"/>
    </xf>
    <xf numFmtId="0" fontId="18" fillId="0" borderId="3" xfId="1" applyBorder="1" applyAlignment="1" applyProtection="1">
      <alignment horizontal="center" vertical="top" wrapText="1" indent="1"/>
      <protection locked="0"/>
    </xf>
    <xf numFmtId="0" fontId="5" fillId="0" borderId="3" xfId="0" applyFont="1" applyBorder="1" applyAlignment="1" applyProtection="1">
      <alignment horizontal="center" vertical="top" wrapText="1" inden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 indent="1"/>
    </xf>
    <xf numFmtId="0" fontId="7" fillId="7" borderId="1" xfId="0" applyFont="1" applyFill="1" applyBorder="1" applyAlignment="1">
      <alignment horizontal="center" vertical="center" wrapText="1" indent="1"/>
    </xf>
    <xf numFmtId="0" fontId="7" fillId="7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0" borderId="2" xfId="0" applyFont="1" applyBorder="1" applyAlignment="1" applyProtection="1">
      <alignment horizontal="center" vertical="top" wrapText="1" indent="1"/>
      <protection locked="0"/>
    </xf>
    <xf numFmtId="0" fontId="0" fillId="0" borderId="4" xfId="0" applyBorder="1" applyAlignment="1" applyProtection="1">
      <alignment horizontal="center" vertical="top" wrapText="1" indent="1"/>
      <protection locked="0"/>
    </xf>
    <xf numFmtId="0" fontId="5" fillId="0" borderId="13" xfId="0" applyFont="1" applyBorder="1" applyAlignment="1" applyProtection="1">
      <alignment horizontal="center" vertical="top" wrapText="1" indent="1"/>
      <protection locked="0"/>
    </xf>
    <xf numFmtId="0" fontId="20" fillId="8" borderId="1" xfId="0" applyFont="1" applyFill="1" applyBorder="1" applyAlignment="1">
      <alignment horizontal="left" vertical="center" wrapText="1" indent="1"/>
    </xf>
    <xf numFmtId="0" fontId="20" fillId="8" borderId="1" xfId="0" applyFont="1" applyFill="1" applyBorder="1" applyAlignment="1">
      <alignment vertical="center" wrapText="1" indent="1"/>
    </xf>
    <xf numFmtId="0" fontId="18" fillId="0" borderId="3" xfId="1" applyBorder="1" applyAlignment="1">
      <alignment horizontal="center" vertical="top" wrapText="1" indent="1"/>
    </xf>
    <xf numFmtId="0" fontId="19" fillId="0" borderId="3" xfId="0" applyFont="1" applyBorder="1" applyAlignment="1">
      <alignment horizontal="center" vertical="top" wrapText="1" indent="1"/>
    </xf>
    <xf numFmtId="0" fontId="19" fillId="0" borderId="2" xfId="0" applyFont="1" applyBorder="1" applyAlignment="1">
      <alignment horizontal="center" vertical="top" wrapText="1" indent="1"/>
    </xf>
    <xf numFmtId="0" fontId="19" fillId="0" borderId="13" xfId="0" applyFont="1" applyBorder="1" applyAlignment="1">
      <alignment horizontal="center" vertical="top" wrapText="1" indent="1"/>
    </xf>
  </cellXfs>
  <cellStyles count="2">
    <cellStyle name="Lien hypertexte" xfId="1" builtinId="8"/>
    <cellStyle name="Normal" xfId="0" builtinId="0"/>
  </cellStyles>
  <dxfs count="2">
    <dxf>
      <font>
        <b/>
        <i val="0"/>
        <color rgb="FFFF0000"/>
      </font>
      <fill>
        <patternFill patternType="solid">
          <bgColor rgb="FFFFFF00"/>
        </patternFill>
      </fill>
    </dxf>
    <dxf>
      <font>
        <b/>
        <i val="0"/>
        <color rgb="FFFF0000"/>
      </font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494A-C5A4-4162-8E25-E1024A1B842A}">
  <dimension ref="A1:M91"/>
  <sheetViews>
    <sheetView tabSelected="1" topLeftCell="A77" zoomScale="88" zoomScaleNormal="88" workbookViewId="0">
      <selection activeCell="C26" sqref="C26"/>
    </sheetView>
  </sheetViews>
  <sheetFormatPr baseColWidth="10" defaultColWidth="8.90625" defaultRowHeight="14.5" x14ac:dyDescent="0.35"/>
  <cols>
    <col min="1" max="1" width="50.08984375" customWidth="1"/>
    <col min="2" max="2" width="68.54296875" customWidth="1"/>
    <col min="3" max="3" width="52.08984375" customWidth="1"/>
    <col min="4" max="5" width="10" customWidth="1"/>
  </cols>
  <sheetData>
    <row r="1" spans="1:13" ht="30" customHeight="1" x14ac:dyDescent="0.35">
      <c r="A1" s="64" t="s">
        <v>0</v>
      </c>
      <c r="B1" s="30"/>
      <c r="C1" s="30"/>
      <c r="D1" s="31"/>
      <c r="E1" s="31"/>
    </row>
    <row r="2" spans="1:13" ht="22.5" customHeight="1" x14ac:dyDescent="0.35">
      <c r="A2" s="65" t="s">
        <v>1</v>
      </c>
      <c r="B2" s="66"/>
      <c r="C2" s="66"/>
      <c r="D2" s="67"/>
      <c r="E2" s="67"/>
    </row>
    <row r="3" spans="1:13" x14ac:dyDescent="0.35">
      <c r="A3" s="36"/>
      <c r="B3" s="37"/>
      <c r="C3" s="37"/>
      <c r="D3" s="37"/>
      <c r="E3" s="38"/>
    </row>
    <row r="4" spans="1:13" x14ac:dyDescent="0.35">
      <c r="A4" s="1" t="s">
        <v>2</v>
      </c>
      <c r="B4" s="36" t="s">
        <v>3</v>
      </c>
      <c r="C4" s="38"/>
      <c r="D4" s="68"/>
      <c r="E4" s="69"/>
    </row>
    <row r="5" spans="1:13" x14ac:dyDescent="0.35">
      <c r="A5" s="1" t="s">
        <v>4</v>
      </c>
      <c r="B5" s="36" t="s">
        <v>5</v>
      </c>
      <c r="C5" s="38"/>
      <c r="D5" s="70"/>
      <c r="E5" s="71"/>
    </row>
    <row r="6" spans="1:13" x14ac:dyDescent="0.35">
      <c r="A6" s="1" t="s">
        <v>6</v>
      </c>
      <c r="B6" s="36" t="s">
        <v>7</v>
      </c>
      <c r="C6" s="38"/>
      <c r="D6" s="70"/>
      <c r="E6" s="71"/>
    </row>
    <row r="7" spans="1:13" ht="22.5" customHeight="1" x14ac:dyDescent="0.35">
      <c r="A7" s="8" t="s">
        <v>8</v>
      </c>
      <c r="B7" s="74" t="s">
        <v>9</v>
      </c>
      <c r="C7" s="75"/>
      <c r="D7" s="70"/>
      <c r="E7" s="71"/>
    </row>
    <row r="8" spans="1:13" ht="22.5" customHeight="1" x14ac:dyDescent="0.4">
      <c r="A8" s="9" t="s">
        <v>10</v>
      </c>
      <c r="B8" s="63" t="s">
        <v>11</v>
      </c>
      <c r="C8" s="76"/>
      <c r="D8" s="72"/>
      <c r="E8" s="73"/>
      <c r="M8" s="10"/>
    </row>
    <row r="9" spans="1:13" ht="22.5" customHeight="1" x14ac:dyDescent="0.4">
      <c r="A9" s="25" t="s">
        <v>96</v>
      </c>
      <c r="B9" s="62" t="str">
        <f>IF(B8&lt;&gt;"",HYPERLINK("https://panoramix.cg.helmo.be/~"&amp;TRIM(B8)&amp;"/EVAL_V1/"),"")</f>
        <v>https://panoramix.cg.helmo.be/~q250000/EVAL_V1/</v>
      </c>
      <c r="C9" s="63"/>
      <c r="D9" s="23"/>
      <c r="E9" s="24"/>
      <c r="M9" s="10"/>
    </row>
    <row r="10" spans="1:13" x14ac:dyDescent="0.35">
      <c r="A10" s="36"/>
      <c r="B10" s="37"/>
      <c r="C10" s="37"/>
      <c r="D10" s="37"/>
      <c r="E10" s="38"/>
    </row>
    <row r="11" spans="1:13" ht="24.9" customHeight="1" x14ac:dyDescent="0.35">
      <c r="A11" s="39" t="s">
        <v>12</v>
      </c>
      <c r="B11" s="30"/>
      <c r="C11" s="30"/>
      <c r="D11" s="31"/>
      <c r="E11" s="31"/>
    </row>
    <row r="12" spans="1:13" ht="30" customHeight="1" x14ac:dyDescent="0.35">
      <c r="A12" s="49" t="s">
        <v>13</v>
      </c>
      <c r="B12" s="50"/>
      <c r="C12" s="50"/>
      <c r="D12" s="51"/>
      <c r="E12" s="51"/>
    </row>
    <row r="13" spans="1:13" x14ac:dyDescent="0.35">
      <c r="A13" s="5" t="s">
        <v>14</v>
      </c>
      <c r="B13" s="47" t="s">
        <v>15</v>
      </c>
      <c r="C13" s="48"/>
      <c r="D13" s="2" t="s">
        <v>16</v>
      </c>
      <c r="E13" s="52"/>
    </row>
    <row r="14" spans="1:13" ht="60" customHeight="1" x14ac:dyDescent="0.35">
      <c r="A14" s="14" t="s">
        <v>17</v>
      </c>
      <c r="B14" s="30"/>
      <c r="C14" s="30"/>
      <c r="D14" s="7" t="b">
        <v>0</v>
      </c>
      <c r="E14" s="53"/>
    </row>
    <row r="15" spans="1:13" ht="60" customHeight="1" x14ac:dyDescent="0.35">
      <c r="A15" s="14" t="s">
        <v>18</v>
      </c>
      <c r="B15" s="30"/>
      <c r="C15" s="30"/>
      <c r="D15" s="7" t="b">
        <v>0</v>
      </c>
      <c r="E15" s="53"/>
    </row>
    <row r="16" spans="1:13" ht="60" customHeight="1" x14ac:dyDescent="0.35">
      <c r="A16" s="14" t="s">
        <v>19</v>
      </c>
      <c r="B16" s="30"/>
      <c r="C16" s="30"/>
      <c r="D16" s="7" t="b">
        <v>0</v>
      </c>
      <c r="E16" s="53"/>
    </row>
    <row r="17" spans="1:5" ht="60" customHeight="1" x14ac:dyDescent="0.35">
      <c r="A17" s="14" t="s">
        <v>20</v>
      </c>
      <c r="B17" s="30"/>
      <c r="C17" s="30"/>
      <c r="D17" s="7" t="b">
        <v>0</v>
      </c>
      <c r="E17" s="53"/>
    </row>
    <row r="18" spans="1:5" ht="60" customHeight="1" x14ac:dyDescent="0.35">
      <c r="A18" s="14" t="s">
        <v>21</v>
      </c>
      <c r="B18" s="30"/>
      <c r="C18" s="30"/>
      <c r="D18" s="7" t="b">
        <v>0</v>
      </c>
      <c r="E18" s="54"/>
    </row>
    <row r="19" spans="1:5" ht="30" customHeight="1" x14ac:dyDescent="0.35">
      <c r="A19" s="58" t="str">
        <f>IF(NOT(COUNTIF(D14:D18, TRUE)=ROWS(D14:D18)), "NON RECEVABLE", "")</f>
        <v>NON RECEVABLE</v>
      </c>
      <c r="B19" s="59"/>
      <c r="C19" s="59"/>
      <c r="D19" s="59"/>
      <c r="E19" s="60"/>
    </row>
    <row r="20" spans="1:5" ht="24.9" customHeight="1" x14ac:dyDescent="0.35">
      <c r="A20" s="39" t="s">
        <v>22</v>
      </c>
      <c r="B20" s="30"/>
      <c r="C20" s="30"/>
      <c r="D20" s="31"/>
      <c r="E20" s="31"/>
    </row>
    <row r="21" spans="1:5" ht="48" customHeight="1" x14ac:dyDescent="0.35">
      <c r="A21" s="61" t="s">
        <v>105</v>
      </c>
      <c r="B21" s="50"/>
      <c r="C21" s="50"/>
      <c r="D21" s="51"/>
      <c r="E21" s="51"/>
    </row>
    <row r="22" spans="1:5" x14ac:dyDescent="0.35">
      <c r="A22" s="5" t="s">
        <v>23</v>
      </c>
      <c r="B22" s="5" t="s">
        <v>24</v>
      </c>
      <c r="C22" s="5" t="s">
        <v>25</v>
      </c>
      <c r="D22" s="2" t="s">
        <v>16</v>
      </c>
      <c r="E22" s="2" t="s">
        <v>26</v>
      </c>
    </row>
    <row r="23" spans="1:5" ht="45" customHeight="1" x14ac:dyDescent="0.35">
      <c r="A23" s="55" t="s">
        <v>27</v>
      </c>
      <c r="B23" s="21" t="s">
        <v>28</v>
      </c>
      <c r="C23" s="22"/>
      <c r="D23" s="6" t="b">
        <v>1</v>
      </c>
      <c r="E23" s="13">
        <f>IF(D23=TRUE, 1, 0)</f>
        <v>1</v>
      </c>
    </row>
    <row r="24" spans="1:5" ht="45" customHeight="1" x14ac:dyDescent="0.35">
      <c r="A24" s="56"/>
      <c r="B24" s="21" t="s">
        <v>29</v>
      </c>
      <c r="C24" s="22"/>
      <c r="D24" s="6" t="b">
        <v>1</v>
      </c>
      <c r="E24" s="13">
        <f>IF(D24=TRUE, 1, 0)</f>
        <v>1</v>
      </c>
    </row>
    <row r="25" spans="1:5" ht="45" customHeight="1" x14ac:dyDescent="0.35">
      <c r="A25" s="56"/>
      <c r="B25" s="21" t="s">
        <v>30</v>
      </c>
      <c r="C25" s="22"/>
      <c r="D25" s="6" t="b">
        <v>1</v>
      </c>
      <c r="E25" s="13">
        <f t="shared" ref="E25:E62" si="0">IF(D25=TRUE, 1, 0)</f>
        <v>1</v>
      </c>
    </row>
    <row r="26" spans="1:5" ht="45" customHeight="1" x14ac:dyDescent="0.35">
      <c r="A26" s="56"/>
      <c r="B26" s="21" t="s">
        <v>97</v>
      </c>
      <c r="C26" s="22"/>
      <c r="D26" s="6" t="b">
        <v>1</v>
      </c>
      <c r="E26" s="13">
        <f t="shared" si="0"/>
        <v>1</v>
      </c>
    </row>
    <row r="27" spans="1:5" ht="45" customHeight="1" x14ac:dyDescent="0.35">
      <c r="A27" s="57"/>
      <c r="B27" s="21" t="s">
        <v>98</v>
      </c>
      <c r="C27" s="22" t="s">
        <v>106</v>
      </c>
      <c r="D27" s="6" t="b">
        <v>0</v>
      </c>
      <c r="E27" s="13">
        <f t="shared" si="0"/>
        <v>0</v>
      </c>
    </row>
    <row r="28" spans="1:5" ht="45" customHeight="1" x14ac:dyDescent="0.35">
      <c r="A28" s="42" t="s">
        <v>31</v>
      </c>
      <c r="B28" s="21" t="s">
        <v>28</v>
      </c>
      <c r="C28" s="22"/>
      <c r="D28" s="6" t="b">
        <v>0</v>
      </c>
      <c r="E28" s="13">
        <f t="shared" si="0"/>
        <v>0</v>
      </c>
    </row>
    <row r="29" spans="1:5" ht="45" customHeight="1" x14ac:dyDescent="0.35">
      <c r="A29" s="43"/>
      <c r="B29" s="21" t="s">
        <v>32</v>
      </c>
      <c r="C29" s="22"/>
      <c r="D29" s="6" t="b">
        <v>1</v>
      </c>
      <c r="E29" s="13">
        <f t="shared" si="0"/>
        <v>1</v>
      </c>
    </row>
    <row r="30" spans="1:5" ht="45" customHeight="1" x14ac:dyDescent="0.35">
      <c r="A30" s="43"/>
      <c r="B30" s="21" t="s">
        <v>33</v>
      </c>
      <c r="C30" s="21"/>
      <c r="D30" s="6" t="b">
        <v>1</v>
      </c>
      <c r="E30" s="13">
        <f t="shared" si="0"/>
        <v>1</v>
      </c>
    </row>
    <row r="31" spans="1:5" ht="45" customHeight="1" x14ac:dyDescent="0.35">
      <c r="A31" s="42" t="s">
        <v>34</v>
      </c>
      <c r="B31" s="21" t="s">
        <v>35</v>
      </c>
      <c r="C31" s="22"/>
      <c r="D31" s="6" t="b">
        <v>0</v>
      </c>
      <c r="E31" s="13">
        <f t="shared" si="0"/>
        <v>0</v>
      </c>
    </row>
    <row r="32" spans="1:5" ht="45" customHeight="1" x14ac:dyDescent="0.35">
      <c r="A32" s="43"/>
      <c r="B32" s="21" t="s">
        <v>36</v>
      </c>
      <c r="C32" s="22"/>
      <c r="D32" s="6" t="b">
        <v>0</v>
      </c>
      <c r="E32" s="13">
        <f t="shared" si="0"/>
        <v>0</v>
      </c>
    </row>
    <row r="33" spans="1:5" ht="45" customHeight="1" x14ac:dyDescent="0.35">
      <c r="A33" s="43"/>
      <c r="B33" s="21" t="s">
        <v>37</v>
      </c>
      <c r="C33" s="22"/>
      <c r="D33" s="6" t="b">
        <v>0</v>
      </c>
      <c r="E33" s="13">
        <f t="shared" si="0"/>
        <v>0</v>
      </c>
    </row>
    <row r="34" spans="1:5" ht="45" customHeight="1" x14ac:dyDescent="0.35">
      <c r="A34" s="43"/>
      <c r="B34" s="21" t="s">
        <v>38</v>
      </c>
      <c r="C34" s="21"/>
      <c r="D34" s="6" t="b">
        <v>0</v>
      </c>
      <c r="E34" s="13">
        <f t="shared" si="0"/>
        <v>0</v>
      </c>
    </row>
    <row r="35" spans="1:5" ht="45" customHeight="1" x14ac:dyDescent="0.35">
      <c r="A35" s="43"/>
      <c r="B35" s="21" t="s">
        <v>39</v>
      </c>
      <c r="C35" s="21"/>
      <c r="D35" s="6" t="b">
        <v>0</v>
      </c>
      <c r="E35" s="13">
        <f t="shared" si="0"/>
        <v>0</v>
      </c>
    </row>
    <row r="36" spans="1:5" ht="45" customHeight="1" x14ac:dyDescent="0.35">
      <c r="A36" s="43"/>
      <c r="B36" s="21" t="s">
        <v>40</v>
      </c>
      <c r="C36" s="22"/>
      <c r="D36" s="6" t="b">
        <v>0</v>
      </c>
      <c r="E36" s="13">
        <f t="shared" si="0"/>
        <v>0</v>
      </c>
    </row>
    <row r="37" spans="1:5" ht="45" customHeight="1" x14ac:dyDescent="0.35">
      <c r="A37" s="43"/>
      <c r="B37" s="21" t="s">
        <v>41</v>
      </c>
      <c r="C37" s="22"/>
      <c r="D37" s="6" t="b">
        <v>0</v>
      </c>
      <c r="E37" s="13">
        <f t="shared" si="0"/>
        <v>0</v>
      </c>
    </row>
    <row r="38" spans="1:5" ht="45" customHeight="1" x14ac:dyDescent="0.35">
      <c r="A38" s="43"/>
      <c r="B38" s="21" t="s">
        <v>104</v>
      </c>
      <c r="C38" s="22"/>
      <c r="D38" s="6" t="b">
        <v>0</v>
      </c>
      <c r="E38" s="13">
        <f t="shared" si="0"/>
        <v>0</v>
      </c>
    </row>
    <row r="39" spans="1:5" ht="45" customHeight="1" x14ac:dyDescent="0.35">
      <c r="A39" s="42" t="s">
        <v>42</v>
      </c>
      <c r="B39" s="21" t="s">
        <v>43</v>
      </c>
      <c r="C39" s="22"/>
      <c r="D39" s="6" t="b">
        <v>0</v>
      </c>
      <c r="E39" s="13">
        <f t="shared" si="0"/>
        <v>0</v>
      </c>
    </row>
    <row r="40" spans="1:5" ht="45" customHeight="1" x14ac:dyDescent="0.35">
      <c r="A40" s="43"/>
      <c r="B40" s="21" t="s">
        <v>99</v>
      </c>
      <c r="C40" s="21"/>
      <c r="D40" s="6" t="b">
        <v>0</v>
      </c>
      <c r="E40" s="13">
        <f t="shared" si="0"/>
        <v>0</v>
      </c>
    </row>
    <row r="41" spans="1:5" ht="81.650000000000006" customHeight="1" x14ac:dyDescent="0.35">
      <c r="A41" s="43"/>
      <c r="B41" s="21" t="s">
        <v>44</v>
      </c>
      <c r="C41" s="21"/>
      <c r="D41" s="6" t="b">
        <v>0</v>
      </c>
      <c r="E41" s="13">
        <f t="shared" si="0"/>
        <v>0</v>
      </c>
    </row>
    <row r="42" spans="1:5" ht="45" customHeight="1" x14ac:dyDescent="0.35">
      <c r="A42" s="43"/>
      <c r="B42" s="21" t="s">
        <v>45</v>
      </c>
      <c r="C42" s="22"/>
      <c r="D42" s="6" t="b">
        <v>0</v>
      </c>
      <c r="E42" s="13">
        <f t="shared" si="0"/>
        <v>0</v>
      </c>
    </row>
    <row r="43" spans="1:5" ht="45" customHeight="1" x14ac:dyDescent="0.35">
      <c r="A43" s="43"/>
      <c r="B43" s="21" t="s">
        <v>46</v>
      </c>
      <c r="C43" s="22"/>
      <c r="D43" s="6" t="b">
        <v>0</v>
      </c>
      <c r="E43" s="13">
        <f t="shared" si="0"/>
        <v>0</v>
      </c>
    </row>
    <row r="44" spans="1:5" ht="66.75" customHeight="1" x14ac:dyDescent="0.35">
      <c r="A44" s="43"/>
      <c r="B44" s="21" t="s">
        <v>47</v>
      </c>
      <c r="C44" s="22"/>
      <c r="D44" s="6" t="b">
        <v>0</v>
      </c>
      <c r="E44" s="13">
        <f t="shared" si="0"/>
        <v>0</v>
      </c>
    </row>
    <row r="45" spans="1:5" ht="45" customHeight="1" x14ac:dyDescent="0.35">
      <c r="A45" s="43"/>
      <c r="B45" s="21" t="s">
        <v>48</v>
      </c>
      <c r="C45" s="21"/>
      <c r="D45" s="6" t="b">
        <v>0</v>
      </c>
      <c r="E45" s="13">
        <f t="shared" si="0"/>
        <v>0</v>
      </c>
    </row>
    <row r="46" spans="1:5" ht="45" customHeight="1" x14ac:dyDescent="0.35">
      <c r="A46" s="42" t="s">
        <v>49</v>
      </c>
      <c r="B46" s="21" t="s">
        <v>50</v>
      </c>
      <c r="C46" s="22"/>
      <c r="D46" s="6" t="b">
        <v>0</v>
      </c>
      <c r="E46" s="13">
        <f t="shared" si="0"/>
        <v>0</v>
      </c>
    </row>
    <row r="47" spans="1:5" ht="45" customHeight="1" x14ac:dyDescent="0.35">
      <c r="A47" s="43"/>
      <c r="B47" s="21" t="s">
        <v>51</v>
      </c>
      <c r="C47" s="22"/>
      <c r="D47" s="6" t="b">
        <v>0</v>
      </c>
      <c r="E47" s="13">
        <f t="shared" si="0"/>
        <v>0</v>
      </c>
    </row>
    <row r="48" spans="1:5" ht="45" customHeight="1" x14ac:dyDescent="0.35">
      <c r="A48" s="43"/>
      <c r="B48" s="21" t="s">
        <v>52</v>
      </c>
      <c r="C48" s="21"/>
      <c r="D48" s="6" t="b">
        <v>0</v>
      </c>
      <c r="E48" s="13">
        <f t="shared" si="0"/>
        <v>0</v>
      </c>
    </row>
    <row r="49" spans="1:5" ht="45" customHeight="1" x14ac:dyDescent="0.35">
      <c r="A49" s="43"/>
      <c r="B49" s="21" t="s">
        <v>53</v>
      </c>
      <c r="C49" s="22"/>
      <c r="D49" s="6" t="b">
        <v>0</v>
      </c>
      <c r="E49" s="13">
        <f t="shared" si="0"/>
        <v>0</v>
      </c>
    </row>
    <row r="50" spans="1:5" ht="63.75" customHeight="1" x14ac:dyDescent="0.35">
      <c r="A50" s="43"/>
      <c r="B50" s="21" t="s">
        <v>54</v>
      </c>
      <c r="C50" s="21"/>
      <c r="D50" s="6" t="b">
        <v>0</v>
      </c>
      <c r="E50" s="13">
        <f t="shared" si="0"/>
        <v>0</v>
      </c>
    </row>
    <row r="51" spans="1:5" ht="45" customHeight="1" x14ac:dyDescent="0.35">
      <c r="A51" s="43"/>
      <c r="B51" s="21" t="s">
        <v>55</v>
      </c>
      <c r="C51" s="22"/>
      <c r="D51" s="6" t="b">
        <v>0</v>
      </c>
      <c r="E51" s="13">
        <f t="shared" si="0"/>
        <v>0</v>
      </c>
    </row>
    <row r="52" spans="1:5" ht="45" customHeight="1" x14ac:dyDescent="0.35">
      <c r="A52" s="43"/>
      <c r="B52" s="21" t="s">
        <v>56</v>
      </c>
      <c r="C52" s="22"/>
      <c r="D52" s="6" t="b">
        <v>0</v>
      </c>
      <c r="E52" s="13">
        <f t="shared" si="0"/>
        <v>0</v>
      </c>
    </row>
    <row r="53" spans="1:5" ht="45" customHeight="1" x14ac:dyDescent="0.35">
      <c r="A53" s="43"/>
      <c r="B53" s="21" t="s">
        <v>57</v>
      </c>
      <c r="C53" s="22"/>
      <c r="D53" s="6" t="b">
        <v>0</v>
      </c>
      <c r="E53" s="13">
        <f t="shared" si="0"/>
        <v>0</v>
      </c>
    </row>
    <row r="54" spans="1:5" ht="45" customHeight="1" x14ac:dyDescent="0.35">
      <c r="A54" s="42" t="s">
        <v>58</v>
      </c>
      <c r="B54" s="21" t="s">
        <v>59</v>
      </c>
      <c r="C54" s="22"/>
      <c r="D54" s="6" t="b">
        <v>0</v>
      </c>
      <c r="E54" s="13">
        <f t="shared" si="0"/>
        <v>0</v>
      </c>
    </row>
    <row r="55" spans="1:5" ht="45" customHeight="1" x14ac:dyDescent="0.35">
      <c r="A55" s="43"/>
      <c r="B55" s="21" t="s">
        <v>60</v>
      </c>
      <c r="C55" s="22"/>
      <c r="D55" s="6" t="b">
        <v>0</v>
      </c>
      <c r="E55" s="13">
        <f t="shared" si="0"/>
        <v>0</v>
      </c>
    </row>
    <row r="56" spans="1:5" ht="45" customHeight="1" x14ac:dyDescent="0.35">
      <c r="A56" s="43"/>
      <c r="B56" s="21" t="s">
        <v>61</v>
      </c>
      <c r="C56" s="22"/>
      <c r="D56" s="6" t="b">
        <v>0</v>
      </c>
      <c r="E56" s="13">
        <f t="shared" si="0"/>
        <v>0</v>
      </c>
    </row>
    <row r="57" spans="1:5" ht="45" customHeight="1" x14ac:dyDescent="0.35">
      <c r="A57" s="43"/>
      <c r="B57" s="21" t="s">
        <v>62</v>
      </c>
      <c r="C57" s="22"/>
      <c r="D57" s="6" t="b">
        <v>0</v>
      </c>
      <c r="E57" s="13">
        <f t="shared" si="0"/>
        <v>0</v>
      </c>
    </row>
    <row r="58" spans="1:5" ht="45" customHeight="1" x14ac:dyDescent="0.35">
      <c r="A58" s="43"/>
      <c r="B58" s="21" t="s">
        <v>103</v>
      </c>
      <c r="C58" s="22"/>
      <c r="D58" s="6" t="b">
        <v>0</v>
      </c>
      <c r="E58" s="13">
        <f t="shared" si="0"/>
        <v>0</v>
      </c>
    </row>
    <row r="59" spans="1:5" ht="45" customHeight="1" x14ac:dyDescent="0.35">
      <c r="A59" s="43"/>
      <c r="B59" s="21" t="s">
        <v>100</v>
      </c>
      <c r="C59" s="21"/>
      <c r="D59" s="6" t="b">
        <v>0</v>
      </c>
      <c r="E59" s="13">
        <f t="shared" si="0"/>
        <v>0</v>
      </c>
    </row>
    <row r="60" spans="1:5" ht="45" customHeight="1" x14ac:dyDescent="0.35">
      <c r="A60" s="43"/>
      <c r="B60" s="21" t="s">
        <v>63</v>
      </c>
      <c r="C60" s="22"/>
      <c r="D60" s="6" t="b">
        <v>0</v>
      </c>
      <c r="E60" s="13">
        <f t="shared" si="0"/>
        <v>0</v>
      </c>
    </row>
    <row r="61" spans="1:5" ht="45" customHeight="1" x14ac:dyDescent="0.35">
      <c r="A61" s="43"/>
      <c r="B61" s="21" t="s">
        <v>57</v>
      </c>
      <c r="C61" s="22"/>
      <c r="D61" s="6" t="b">
        <v>0</v>
      </c>
      <c r="E61" s="13">
        <f t="shared" si="0"/>
        <v>0</v>
      </c>
    </row>
    <row r="62" spans="1:5" ht="45" customHeight="1" x14ac:dyDescent="0.35">
      <c r="A62" s="42" t="s">
        <v>64</v>
      </c>
      <c r="B62" s="21" t="s">
        <v>65</v>
      </c>
      <c r="C62" s="22"/>
      <c r="D62" s="6" t="b">
        <v>0</v>
      </c>
      <c r="E62" s="13">
        <f t="shared" si="0"/>
        <v>0</v>
      </c>
    </row>
    <row r="63" spans="1:5" ht="45" customHeight="1" x14ac:dyDescent="0.35">
      <c r="A63" s="43"/>
      <c r="B63" s="21" t="s">
        <v>66</v>
      </c>
      <c r="C63" s="21"/>
      <c r="D63" s="6" t="b">
        <v>0</v>
      </c>
      <c r="E63" s="13">
        <f t="shared" ref="E63:E75" si="1">IF(D63=TRUE, 1, 0)</f>
        <v>0</v>
      </c>
    </row>
    <row r="64" spans="1:5" ht="45" customHeight="1" x14ac:dyDescent="0.35">
      <c r="A64" s="43"/>
      <c r="B64" s="21" t="s">
        <v>67</v>
      </c>
      <c r="C64" s="22"/>
      <c r="D64" s="6" t="b">
        <v>0</v>
      </c>
      <c r="E64" s="13">
        <f t="shared" si="1"/>
        <v>0</v>
      </c>
    </row>
    <row r="65" spans="1:5" ht="45" customHeight="1" x14ac:dyDescent="0.35">
      <c r="A65" s="43"/>
      <c r="B65" s="21" t="s">
        <v>101</v>
      </c>
      <c r="C65" s="22"/>
      <c r="D65" s="6" t="b">
        <v>0</v>
      </c>
      <c r="E65" s="13">
        <f t="shared" si="1"/>
        <v>0</v>
      </c>
    </row>
    <row r="66" spans="1:5" ht="45" customHeight="1" x14ac:dyDescent="0.35">
      <c r="A66" s="43"/>
      <c r="B66" s="21" t="s">
        <v>102</v>
      </c>
      <c r="C66" s="22"/>
      <c r="D66" s="6" t="b">
        <v>0</v>
      </c>
      <c r="E66" s="13">
        <f t="shared" si="1"/>
        <v>0</v>
      </c>
    </row>
    <row r="67" spans="1:5" ht="45" customHeight="1" x14ac:dyDescent="0.35">
      <c r="A67" s="42" t="s">
        <v>68</v>
      </c>
      <c r="B67" s="21" t="s">
        <v>69</v>
      </c>
      <c r="C67" s="22"/>
      <c r="D67" s="6" t="b">
        <v>0</v>
      </c>
      <c r="E67" s="13">
        <f t="shared" si="1"/>
        <v>0</v>
      </c>
    </row>
    <row r="68" spans="1:5" ht="45" customHeight="1" x14ac:dyDescent="0.35">
      <c r="A68" s="43"/>
      <c r="B68" s="21" t="s">
        <v>70</v>
      </c>
      <c r="C68" s="22"/>
      <c r="D68" s="6" t="b">
        <v>0</v>
      </c>
      <c r="E68" s="13">
        <f t="shared" si="1"/>
        <v>0</v>
      </c>
    </row>
    <row r="69" spans="1:5" ht="45" customHeight="1" x14ac:dyDescent="0.35">
      <c r="A69" s="43"/>
      <c r="B69" s="21" t="s">
        <v>71</v>
      </c>
      <c r="C69" s="22"/>
      <c r="D69" s="6" t="b">
        <v>0</v>
      </c>
      <c r="E69" s="13">
        <f t="shared" si="1"/>
        <v>0</v>
      </c>
    </row>
    <row r="70" spans="1:5" ht="45" customHeight="1" x14ac:dyDescent="0.35">
      <c r="A70" s="43"/>
      <c r="B70" s="21" t="s">
        <v>72</v>
      </c>
      <c r="C70" s="22"/>
      <c r="D70" s="6" t="b">
        <v>0</v>
      </c>
      <c r="E70" s="13">
        <f t="shared" si="1"/>
        <v>0</v>
      </c>
    </row>
    <row r="71" spans="1:5" ht="45" customHeight="1" x14ac:dyDescent="0.35">
      <c r="A71" s="43"/>
      <c r="B71" s="21" t="s">
        <v>73</v>
      </c>
      <c r="C71" s="22"/>
      <c r="D71" s="6" t="b">
        <v>0</v>
      </c>
      <c r="E71" s="13">
        <f t="shared" si="1"/>
        <v>0</v>
      </c>
    </row>
    <row r="72" spans="1:5" ht="45" customHeight="1" x14ac:dyDescent="0.35">
      <c r="A72" s="42" t="s">
        <v>74</v>
      </c>
      <c r="B72" s="21" t="s">
        <v>75</v>
      </c>
      <c r="C72" s="22"/>
      <c r="D72" s="6" t="b">
        <v>0</v>
      </c>
      <c r="E72" s="13">
        <f t="shared" si="1"/>
        <v>0</v>
      </c>
    </row>
    <row r="73" spans="1:5" ht="45" customHeight="1" x14ac:dyDescent="0.35">
      <c r="A73" s="43"/>
      <c r="B73" s="21" t="s">
        <v>76</v>
      </c>
      <c r="C73" s="22"/>
      <c r="D73" s="6" t="b">
        <v>0</v>
      </c>
      <c r="E73" s="13">
        <f t="shared" si="1"/>
        <v>0</v>
      </c>
    </row>
    <row r="74" spans="1:5" ht="45" customHeight="1" x14ac:dyDescent="0.35">
      <c r="A74" s="43"/>
      <c r="B74" s="21" t="s">
        <v>77</v>
      </c>
      <c r="C74" s="22"/>
      <c r="D74" s="6" t="b">
        <v>0</v>
      </c>
      <c r="E74" s="13">
        <f t="shared" si="1"/>
        <v>0</v>
      </c>
    </row>
    <row r="75" spans="1:5" ht="45" customHeight="1" x14ac:dyDescent="0.35">
      <c r="A75" s="43"/>
      <c r="B75" s="21" t="s">
        <v>78</v>
      </c>
      <c r="C75" s="22"/>
      <c r="D75" s="6" t="b">
        <v>0</v>
      </c>
      <c r="E75" s="13">
        <f t="shared" si="1"/>
        <v>0</v>
      </c>
    </row>
    <row r="76" spans="1:5" x14ac:dyDescent="0.35">
      <c r="A76" s="33" t="s">
        <v>79</v>
      </c>
      <c r="B76" s="34"/>
      <c r="C76" s="34"/>
      <c r="D76" s="35"/>
      <c r="E76" s="3">
        <f>IF(SUM(E23:E75)&lt;((ROWS(E23:E75)/4)*3), 0, 10 + (SUM(E23:E75)-((ROWS(E23:E75)/4)*3)) * (10/(ROWS(E23:E75)-((ROWS(E23:E75)/4)*3))))</f>
        <v>0</v>
      </c>
    </row>
    <row r="77" spans="1:5" ht="30" customHeight="1" x14ac:dyDescent="0.35">
      <c r="A77" s="36"/>
      <c r="B77" s="37"/>
      <c r="C77" s="37"/>
      <c r="D77" s="37"/>
      <c r="E77" s="38"/>
    </row>
    <row r="78" spans="1:5" ht="24.9" customHeight="1" x14ac:dyDescent="0.35">
      <c r="A78" s="39" t="s">
        <v>80</v>
      </c>
      <c r="B78" s="30"/>
      <c r="C78" s="30"/>
      <c r="D78" s="31"/>
      <c r="E78" s="31"/>
    </row>
    <row r="79" spans="1:5" ht="30" customHeight="1" x14ac:dyDescent="0.35">
      <c r="A79" s="44" t="s">
        <v>81</v>
      </c>
      <c r="B79" s="45"/>
      <c r="C79" s="45"/>
      <c r="D79" s="46"/>
      <c r="E79" s="46"/>
    </row>
    <row r="80" spans="1:5" x14ac:dyDescent="0.35">
      <c r="A80" s="5" t="s">
        <v>14</v>
      </c>
      <c r="B80" s="47" t="s">
        <v>82</v>
      </c>
      <c r="C80" s="48"/>
      <c r="D80" s="31"/>
      <c r="E80" s="2" t="s">
        <v>26</v>
      </c>
    </row>
    <row r="81" spans="1:5" ht="60" customHeight="1" x14ac:dyDescent="0.35">
      <c r="A81" s="12" t="s">
        <v>83</v>
      </c>
      <c r="B81" s="32" t="s">
        <v>84</v>
      </c>
      <c r="C81" s="30"/>
      <c r="D81" s="31"/>
      <c r="E81" s="15">
        <v>0</v>
      </c>
    </row>
    <row r="82" spans="1:5" ht="60" customHeight="1" x14ac:dyDescent="0.35">
      <c r="A82" s="11" t="s">
        <v>85</v>
      </c>
      <c r="B82" s="29" t="s">
        <v>86</v>
      </c>
      <c r="C82" s="30"/>
      <c r="D82" s="31"/>
      <c r="E82" s="16">
        <v>0</v>
      </c>
    </row>
    <row r="83" spans="1:5" ht="60" customHeight="1" x14ac:dyDescent="0.35">
      <c r="A83" s="12" t="s">
        <v>87</v>
      </c>
      <c r="B83" s="32" t="s">
        <v>88</v>
      </c>
      <c r="C83" s="30"/>
      <c r="D83" s="31"/>
      <c r="E83" s="17">
        <v>0</v>
      </c>
    </row>
    <row r="84" spans="1:5" x14ac:dyDescent="0.35">
      <c r="A84" s="33" t="s">
        <v>89</v>
      </c>
      <c r="B84" s="34"/>
      <c r="C84" s="34"/>
      <c r="D84" s="35"/>
      <c r="E84" s="4">
        <f>SUM(E81:E83)</f>
        <v>0</v>
      </c>
    </row>
    <row r="85" spans="1:5" ht="30" customHeight="1" x14ac:dyDescent="0.35">
      <c r="A85" s="36"/>
      <c r="B85" s="37"/>
      <c r="C85" s="37"/>
      <c r="D85" s="37"/>
      <c r="E85" s="38"/>
    </row>
    <row r="86" spans="1:5" ht="24.9" customHeight="1" x14ac:dyDescent="0.35">
      <c r="A86" s="39" t="s">
        <v>90</v>
      </c>
      <c r="B86" s="30"/>
      <c r="C86" s="30"/>
      <c r="D86" s="31"/>
      <c r="E86" s="31"/>
    </row>
    <row r="87" spans="1:5" ht="45" customHeight="1" x14ac:dyDescent="0.35">
      <c r="A87" s="40" t="s">
        <v>91</v>
      </c>
      <c r="B87" s="40"/>
      <c r="C87" s="40"/>
      <c r="D87" s="41"/>
      <c r="E87" s="41"/>
    </row>
    <row r="88" spans="1:5" x14ac:dyDescent="0.35">
      <c r="A88" s="26" t="s">
        <v>92</v>
      </c>
      <c r="B88" s="27"/>
      <c r="C88" s="27"/>
      <c r="D88" s="28"/>
      <c r="E88" s="2" t="s">
        <v>26</v>
      </c>
    </row>
    <row r="89" spans="1:5" x14ac:dyDescent="0.35">
      <c r="A89" s="27" t="s">
        <v>93</v>
      </c>
      <c r="B89" s="27"/>
      <c r="C89" s="27"/>
      <c r="D89" s="28"/>
      <c r="E89" s="19">
        <f>E76</f>
        <v>0</v>
      </c>
    </row>
    <row r="90" spans="1:5" x14ac:dyDescent="0.35">
      <c r="A90" s="27" t="s">
        <v>94</v>
      </c>
      <c r="B90" s="27"/>
      <c r="C90" s="27"/>
      <c r="D90" s="28"/>
      <c r="E90" s="18">
        <f>E84</f>
        <v>0</v>
      </c>
    </row>
    <row r="91" spans="1:5" x14ac:dyDescent="0.35">
      <c r="A91" s="26" t="s">
        <v>95</v>
      </c>
      <c r="B91" s="27"/>
      <c r="C91" s="27"/>
      <c r="D91" s="28"/>
      <c r="E91" s="20">
        <f>IF(NOT(COUNTIF(D14:D18, TRUE)=ROWS(D14:D18)), 0, IF(OR(E89&lt;10,E90&lt;10), 7, ROUND((E89+E90)/2,0)))</f>
        <v>0</v>
      </c>
    </row>
  </sheetData>
  <sheetProtection algorithmName="SHA-512" hashValue="cAunLLpdyMoBD+xK+tJyrdURr6tqiDRkIWRB6Wh8eoQIwZVrxM+SGbcO5TsUmoFCgZ+ZqefaqPlOjavdkKFnDw==" saltValue="RHpBnSY55Pnn+IQw3Jhkiw==" spinCount="100000" sheet="1" objects="1" scenarios="1"/>
  <protectedRanges>
    <protectedRange sqref="B14:D18" name="Range1"/>
    <protectedRange sqref="B23:D75" name="Range2"/>
    <protectedRange sqref="B81:E83" name="Range3"/>
  </protectedRanges>
  <mergeCells count="48">
    <mergeCell ref="B9:C9"/>
    <mergeCell ref="A1:E1"/>
    <mergeCell ref="A2:E2"/>
    <mergeCell ref="A3:E3"/>
    <mergeCell ref="B4:C4"/>
    <mergeCell ref="D4:E8"/>
    <mergeCell ref="B5:C5"/>
    <mergeCell ref="B6:C6"/>
    <mergeCell ref="B7:C7"/>
    <mergeCell ref="B8:C8"/>
    <mergeCell ref="A31:A38"/>
    <mergeCell ref="A10:E10"/>
    <mergeCell ref="A11:E11"/>
    <mergeCell ref="A12:E12"/>
    <mergeCell ref="B13:C13"/>
    <mergeCell ref="E13:E18"/>
    <mergeCell ref="B14:C14"/>
    <mergeCell ref="B15:C15"/>
    <mergeCell ref="B16:C16"/>
    <mergeCell ref="B17:C17"/>
    <mergeCell ref="B18:C18"/>
    <mergeCell ref="A23:A27"/>
    <mergeCell ref="A19:E19"/>
    <mergeCell ref="A20:E20"/>
    <mergeCell ref="A21:E21"/>
    <mergeCell ref="A28:A30"/>
    <mergeCell ref="B81:D81"/>
    <mergeCell ref="A39:A45"/>
    <mergeCell ref="A46:A53"/>
    <mergeCell ref="A54:A61"/>
    <mergeCell ref="A62:A66"/>
    <mergeCell ref="A67:A71"/>
    <mergeCell ref="A72:A75"/>
    <mergeCell ref="A76:D76"/>
    <mergeCell ref="A77:E77"/>
    <mergeCell ref="A78:E78"/>
    <mergeCell ref="A79:E79"/>
    <mergeCell ref="B80:D80"/>
    <mergeCell ref="A88:D88"/>
    <mergeCell ref="A89:D89"/>
    <mergeCell ref="A90:D90"/>
    <mergeCell ref="A91:D91"/>
    <mergeCell ref="B82:D82"/>
    <mergeCell ref="B83:D83"/>
    <mergeCell ref="A84:D84"/>
    <mergeCell ref="A85:E85"/>
    <mergeCell ref="A86:E86"/>
    <mergeCell ref="A87:E87"/>
  </mergeCells>
  <conditionalFormatting sqref="A19:E19">
    <cfRule type="expression" dxfId="1" priority="3">
      <formula>NOT(COUNTIF(D14:D18, TRUE)=ROWS(D14:D18))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E848-7F4A-4425-AD85-8C835128B3A0}">
  <dimension ref="A1:M91"/>
  <sheetViews>
    <sheetView topLeftCell="B16" zoomScale="103" workbookViewId="0">
      <selection activeCell="C58" sqref="C58"/>
    </sheetView>
  </sheetViews>
  <sheetFormatPr baseColWidth="10" defaultColWidth="8.90625" defaultRowHeight="14.5" x14ac:dyDescent="0.35"/>
  <cols>
    <col min="1" max="1" width="50.08984375" customWidth="1"/>
    <col min="2" max="2" width="68.54296875" customWidth="1"/>
    <col min="3" max="3" width="52.08984375" customWidth="1"/>
    <col min="4" max="5" width="10" customWidth="1"/>
  </cols>
  <sheetData>
    <row r="1" spans="1:13" ht="30" customHeight="1" x14ac:dyDescent="0.35">
      <c r="A1" s="64" t="s">
        <v>0</v>
      </c>
      <c r="B1" s="30"/>
      <c r="C1" s="30"/>
      <c r="D1" s="31"/>
      <c r="E1" s="31"/>
    </row>
    <row r="2" spans="1:13" ht="22.5" customHeight="1" x14ac:dyDescent="0.35">
      <c r="A2" s="65" t="s">
        <v>1</v>
      </c>
      <c r="B2" s="66"/>
      <c r="C2" s="66"/>
      <c r="D2" s="67"/>
      <c r="E2" s="67"/>
    </row>
    <row r="3" spans="1:13" x14ac:dyDescent="0.35">
      <c r="A3" s="36"/>
      <c r="B3" s="37"/>
      <c r="C3" s="37"/>
      <c r="D3" s="37"/>
      <c r="E3" s="38"/>
    </row>
    <row r="4" spans="1:13" x14ac:dyDescent="0.35">
      <c r="A4" s="1" t="s">
        <v>2</v>
      </c>
      <c r="B4" s="36" t="s">
        <v>3</v>
      </c>
      <c r="C4" s="38"/>
      <c r="D4" s="68"/>
      <c r="E4" s="69"/>
    </row>
    <row r="5" spans="1:13" x14ac:dyDescent="0.35">
      <c r="A5" s="1" t="s">
        <v>4</v>
      </c>
      <c r="B5" s="36" t="s">
        <v>5</v>
      </c>
      <c r="C5" s="38"/>
      <c r="D5" s="70"/>
      <c r="E5" s="71"/>
    </row>
    <row r="6" spans="1:13" x14ac:dyDescent="0.35">
      <c r="A6" s="1" t="s">
        <v>6</v>
      </c>
      <c r="B6" s="36" t="s">
        <v>7</v>
      </c>
      <c r="C6" s="38"/>
      <c r="D6" s="70"/>
      <c r="E6" s="71"/>
    </row>
    <row r="7" spans="1:13" ht="22.5" customHeight="1" x14ac:dyDescent="0.35">
      <c r="A7" s="8" t="s">
        <v>8</v>
      </c>
      <c r="B7" s="81" t="str">
        <f>'Grille EVAL_V1 ETUDIANT'!B7</f>
        <v>Nom Prénom</v>
      </c>
      <c r="C7" s="38"/>
      <c r="D7" s="70"/>
      <c r="E7" s="71"/>
    </row>
    <row r="8" spans="1:13" ht="22.5" customHeight="1" x14ac:dyDescent="0.4">
      <c r="A8" s="9" t="s">
        <v>10</v>
      </c>
      <c r="B8" s="80" t="str">
        <f>'Grille EVAL_V1 ETUDIANT'!B8</f>
        <v>q250000</v>
      </c>
      <c r="C8" s="82"/>
      <c r="D8" s="72"/>
      <c r="E8" s="73"/>
      <c r="M8" s="10"/>
    </row>
    <row r="9" spans="1:13" ht="22.5" customHeight="1" x14ac:dyDescent="0.4">
      <c r="A9" s="25" t="s">
        <v>96</v>
      </c>
      <c r="B9" s="79" t="str">
        <f>IF(B8&lt;&gt;"",HYPERLINK("https://panoramix.cg.helmo.be/~"&amp;TRIM(B8)&amp;"/EVAL_V1/"),"")</f>
        <v>https://panoramix.cg.helmo.be/~q250000/EVAL_V1/</v>
      </c>
      <c r="C9" s="80"/>
      <c r="D9" s="23"/>
      <c r="E9" s="24"/>
      <c r="M9" s="10"/>
    </row>
    <row r="10" spans="1:13" x14ac:dyDescent="0.35">
      <c r="A10" s="36"/>
      <c r="B10" s="37"/>
      <c r="C10" s="37"/>
      <c r="D10" s="37"/>
      <c r="E10" s="38"/>
    </row>
    <row r="11" spans="1:13" ht="24.9" customHeight="1" x14ac:dyDescent="0.35">
      <c r="A11" s="39" t="s">
        <v>12</v>
      </c>
      <c r="B11" s="30"/>
      <c r="C11" s="30"/>
      <c r="D11" s="31"/>
      <c r="E11" s="31"/>
    </row>
    <row r="12" spans="1:13" ht="30" customHeight="1" x14ac:dyDescent="0.35">
      <c r="A12" s="49" t="s">
        <v>13</v>
      </c>
      <c r="B12" s="50"/>
      <c r="C12" s="50"/>
      <c r="D12" s="51"/>
      <c r="E12" s="51"/>
    </row>
    <row r="13" spans="1:13" x14ac:dyDescent="0.35">
      <c r="A13" s="5" t="s">
        <v>14</v>
      </c>
      <c r="B13" s="47" t="s">
        <v>15</v>
      </c>
      <c r="C13" s="48"/>
      <c r="D13" s="2" t="s">
        <v>16</v>
      </c>
      <c r="E13" s="52"/>
    </row>
    <row r="14" spans="1:13" ht="60" customHeight="1" x14ac:dyDescent="0.35">
      <c r="A14" s="14" t="s">
        <v>17</v>
      </c>
      <c r="B14" s="30"/>
      <c r="C14" s="30"/>
      <c r="D14" s="7" t="b">
        <v>0</v>
      </c>
      <c r="E14" s="53"/>
    </row>
    <row r="15" spans="1:13" ht="60" customHeight="1" x14ac:dyDescent="0.35">
      <c r="A15" s="14" t="s">
        <v>18</v>
      </c>
      <c r="B15" s="30"/>
      <c r="C15" s="30"/>
      <c r="D15" s="7" t="b">
        <v>0</v>
      </c>
      <c r="E15" s="53"/>
    </row>
    <row r="16" spans="1:13" ht="60" customHeight="1" x14ac:dyDescent="0.35">
      <c r="A16" s="14" t="s">
        <v>19</v>
      </c>
      <c r="B16" s="30"/>
      <c r="C16" s="30"/>
      <c r="D16" s="7" t="b">
        <v>0</v>
      </c>
      <c r="E16" s="53"/>
    </row>
    <row r="17" spans="1:5" ht="60" customHeight="1" x14ac:dyDescent="0.35">
      <c r="A17" s="14" t="s">
        <v>20</v>
      </c>
      <c r="B17" s="30"/>
      <c r="C17" s="30"/>
      <c r="D17" s="7" t="b">
        <v>0</v>
      </c>
      <c r="E17" s="53"/>
    </row>
    <row r="18" spans="1:5" ht="60" customHeight="1" x14ac:dyDescent="0.35">
      <c r="A18" s="14" t="s">
        <v>21</v>
      </c>
      <c r="B18" s="30"/>
      <c r="C18" s="30"/>
      <c r="D18" s="7" t="b">
        <v>0</v>
      </c>
      <c r="E18" s="54"/>
    </row>
    <row r="19" spans="1:5" ht="30" customHeight="1" x14ac:dyDescent="0.35">
      <c r="A19" s="58" t="str">
        <f>IF(NOT(COUNTIF(D14:D18, TRUE)=ROWS(D14:D18)), "NON RECEVABLE", "")</f>
        <v>NON RECEVABLE</v>
      </c>
      <c r="B19" s="59"/>
      <c r="C19" s="59"/>
      <c r="D19" s="59"/>
      <c r="E19" s="60"/>
    </row>
    <row r="20" spans="1:5" ht="24.9" customHeight="1" x14ac:dyDescent="0.35">
      <c r="A20" s="39" t="s">
        <v>22</v>
      </c>
      <c r="B20" s="30"/>
      <c r="C20" s="30"/>
      <c r="D20" s="31"/>
      <c r="E20" s="31"/>
    </row>
    <row r="21" spans="1:5" ht="48" customHeight="1" x14ac:dyDescent="0.35">
      <c r="A21" s="78" t="s">
        <v>105</v>
      </c>
      <c r="B21" s="50"/>
      <c r="C21" s="50"/>
      <c r="D21" s="51"/>
      <c r="E21" s="51"/>
    </row>
    <row r="22" spans="1:5" x14ac:dyDescent="0.35">
      <c r="A22" s="5" t="s">
        <v>23</v>
      </c>
      <c r="B22" s="5" t="s">
        <v>24</v>
      </c>
      <c r="C22" s="5" t="s">
        <v>25</v>
      </c>
      <c r="D22" s="2" t="s">
        <v>16</v>
      </c>
      <c r="E22" s="2" t="s">
        <v>26</v>
      </c>
    </row>
    <row r="23" spans="1:5" ht="45" customHeight="1" x14ac:dyDescent="0.35">
      <c r="A23" s="55" t="s">
        <v>27</v>
      </c>
      <c r="B23" s="21" t="s">
        <v>28</v>
      </c>
      <c r="C23" s="22"/>
      <c r="D23" s="6" t="b">
        <v>0</v>
      </c>
      <c r="E23" s="13">
        <f t="shared" ref="E23:E54" si="0">IF(D23=TRUE, 1, 0)</f>
        <v>0</v>
      </c>
    </row>
    <row r="24" spans="1:5" ht="45" customHeight="1" x14ac:dyDescent="0.35">
      <c r="A24" s="56"/>
      <c r="B24" s="21" t="s">
        <v>29</v>
      </c>
      <c r="C24" s="22"/>
      <c r="D24" s="6" t="b">
        <v>0</v>
      </c>
      <c r="E24" s="13">
        <f t="shared" si="0"/>
        <v>0</v>
      </c>
    </row>
    <row r="25" spans="1:5" ht="45" customHeight="1" x14ac:dyDescent="0.35">
      <c r="A25" s="56"/>
      <c r="B25" s="21" t="s">
        <v>30</v>
      </c>
      <c r="C25" s="22"/>
      <c r="D25" s="6" t="b">
        <v>0</v>
      </c>
      <c r="E25" s="13">
        <f t="shared" si="0"/>
        <v>0</v>
      </c>
    </row>
    <row r="26" spans="1:5" ht="45" customHeight="1" x14ac:dyDescent="0.35">
      <c r="A26" s="56"/>
      <c r="B26" s="21" t="s">
        <v>97</v>
      </c>
      <c r="C26" s="22"/>
      <c r="D26" s="6" t="b">
        <v>0</v>
      </c>
      <c r="E26" s="13">
        <f t="shared" si="0"/>
        <v>0</v>
      </c>
    </row>
    <row r="27" spans="1:5" ht="45" customHeight="1" x14ac:dyDescent="0.35">
      <c r="A27" s="57"/>
      <c r="B27" s="21" t="s">
        <v>98</v>
      </c>
      <c r="C27" s="22"/>
      <c r="D27" s="6" t="b">
        <v>0</v>
      </c>
      <c r="E27" s="13">
        <f t="shared" si="0"/>
        <v>0</v>
      </c>
    </row>
    <row r="28" spans="1:5" ht="45" customHeight="1" x14ac:dyDescent="0.35">
      <c r="A28" s="42" t="s">
        <v>31</v>
      </c>
      <c r="B28" s="21" t="s">
        <v>28</v>
      </c>
      <c r="C28" s="22"/>
      <c r="D28" s="6" t="b">
        <v>0</v>
      </c>
      <c r="E28" s="13">
        <f t="shared" si="0"/>
        <v>0</v>
      </c>
    </row>
    <row r="29" spans="1:5" ht="45" customHeight="1" x14ac:dyDescent="0.35">
      <c r="A29" s="43"/>
      <c r="B29" s="21" t="s">
        <v>32</v>
      </c>
      <c r="C29" s="22"/>
      <c r="D29" s="6" t="b">
        <v>0</v>
      </c>
      <c r="E29" s="13">
        <f t="shared" si="0"/>
        <v>0</v>
      </c>
    </row>
    <row r="30" spans="1:5" ht="45" customHeight="1" x14ac:dyDescent="0.35">
      <c r="A30" s="43"/>
      <c r="B30" s="21" t="s">
        <v>33</v>
      </c>
      <c r="C30" s="21"/>
      <c r="D30" s="6" t="b">
        <v>0</v>
      </c>
      <c r="E30" s="13">
        <f t="shared" si="0"/>
        <v>0</v>
      </c>
    </row>
    <row r="31" spans="1:5" ht="45" customHeight="1" x14ac:dyDescent="0.35">
      <c r="A31" s="42" t="s">
        <v>34</v>
      </c>
      <c r="B31" s="21" t="s">
        <v>35</v>
      </c>
      <c r="C31" s="22"/>
      <c r="D31" s="6" t="b">
        <v>0</v>
      </c>
      <c r="E31" s="13">
        <f t="shared" si="0"/>
        <v>0</v>
      </c>
    </row>
    <row r="32" spans="1:5" ht="45" customHeight="1" x14ac:dyDescent="0.35">
      <c r="A32" s="43"/>
      <c r="B32" s="21" t="s">
        <v>36</v>
      </c>
      <c r="C32" s="22"/>
      <c r="D32" s="6" t="b">
        <v>0</v>
      </c>
      <c r="E32" s="13">
        <f t="shared" si="0"/>
        <v>0</v>
      </c>
    </row>
    <row r="33" spans="1:5" ht="45" customHeight="1" x14ac:dyDescent="0.35">
      <c r="A33" s="43"/>
      <c r="B33" s="21" t="s">
        <v>37</v>
      </c>
      <c r="C33" s="22"/>
      <c r="D33" s="6" t="b">
        <v>0</v>
      </c>
      <c r="E33" s="13">
        <f t="shared" si="0"/>
        <v>0</v>
      </c>
    </row>
    <row r="34" spans="1:5" ht="45" customHeight="1" x14ac:dyDescent="0.35">
      <c r="A34" s="43"/>
      <c r="B34" s="21" t="s">
        <v>38</v>
      </c>
      <c r="C34" s="21"/>
      <c r="D34" s="6" t="b">
        <v>0</v>
      </c>
      <c r="E34" s="13">
        <f t="shared" si="0"/>
        <v>0</v>
      </c>
    </row>
    <row r="35" spans="1:5" ht="45" customHeight="1" x14ac:dyDescent="0.35">
      <c r="A35" s="43"/>
      <c r="B35" s="21" t="s">
        <v>39</v>
      </c>
      <c r="C35" s="21"/>
      <c r="D35" s="6" t="b">
        <v>0</v>
      </c>
      <c r="E35" s="13">
        <f t="shared" si="0"/>
        <v>0</v>
      </c>
    </row>
    <row r="36" spans="1:5" ht="45" customHeight="1" x14ac:dyDescent="0.35">
      <c r="A36" s="43"/>
      <c r="B36" s="21" t="s">
        <v>40</v>
      </c>
      <c r="C36" s="22"/>
      <c r="D36" s="6" t="b">
        <v>0</v>
      </c>
      <c r="E36" s="13">
        <f t="shared" si="0"/>
        <v>0</v>
      </c>
    </row>
    <row r="37" spans="1:5" ht="45" customHeight="1" x14ac:dyDescent="0.35">
      <c r="A37" s="43"/>
      <c r="B37" s="21" t="s">
        <v>41</v>
      </c>
      <c r="C37" s="22"/>
      <c r="D37" s="6" t="b">
        <v>0</v>
      </c>
      <c r="E37" s="13">
        <f t="shared" si="0"/>
        <v>0</v>
      </c>
    </row>
    <row r="38" spans="1:5" ht="45" customHeight="1" x14ac:dyDescent="0.35">
      <c r="A38" s="43"/>
      <c r="B38" s="21" t="s">
        <v>104</v>
      </c>
      <c r="C38" s="22"/>
      <c r="D38" s="6" t="b">
        <v>0</v>
      </c>
      <c r="E38" s="13">
        <f t="shared" si="0"/>
        <v>0</v>
      </c>
    </row>
    <row r="39" spans="1:5" ht="45" customHeight="1" x14ac:dyDescent="0.35">
      <c r="A39" s="42" t="s">
        <v>42</v>
      </c>
      <c r="B39" s="21" t="s">
        <v>43</v>
      </c>
      <c r="C39" s="22"/>
      <c r="D39" s="6" t="b">
        <v>0</v>
      </c>
      <c r="E39" s="13">
        <f t="shared" si="0"/>
        <v>0</v>
      </c>
    </row>
    <row r="40" spans="1:5" ht="45" customHeight="1" x14ac:dyDescent="0.35">
      <c r="A40" s="43"/>
      <c r="B40" s="21" t="s">
        <v>99</v>
      </c>
      <c r="C40" s="21"/>
      <c r="D40" s="6" t="b">
        <v>0</v>
      </c>
      <c r="E40" s="13">
        <f t="shared" si="0"/>
        <v>0</v>
      </c>
    </row>
    <row r="41" spans="1:5" ht="81.650000000000006" customHeight="1" x14ac:dyDescent="0.35">
      <c r="A41" s="43"/>
      <c r="B41" s="21" t="s">
        <v>44</v>
      </c>
      <c r="C41" s="21"/>
      <c r="D41" s="6" t="b">
        <v>0</v>
      </c>
      <c r="E41" s="13">
        <f t="shared" si="0"/>
        <v>0</v>
      </c>
    </row>
    <row r="42" spans="1:5" ht="45" customHeight="1" x14ac:dyDescent="0.35">
      <c r="A42" s="43"/>
      <c r="B42" s="21" t="s">
        <v>45</v>
      </c>
      <c r="C42" s="22"/>
      <c r="D42" s="6" t="b">
        <v>0</v>
      </c>
      <c r="E42" s="13">
        <f t="shared" si="0"/>
        <v>0</v>
      </c>
    </row>
    <row r="43" spans="1:5" ht="45" customHeight="1" x14ac:dyDescent="0.35">
      <c r="A43" s="43"/>
      <c r="B43" s="21" t="s">
        <v>46</v>
      </c>
      <c r="C43" s="22"/>
      <c r="D43" s="6" t="b">
        <v>0</v>
      </c>
      <c r="E43" s="13">
        <f t="shared" si="0"/>
        <v>0</v>
      </c>
    </row>
    <row r="44" spans="1:5" ht="66.75" customHeight="1" x14ac:dyDescent="0.35">
      <c r="A44" s="43"/>
      <c r="B44" s="21" t="s">
        <v>47</v>
      </c>
      <c r="C44" s="22"/>
      <c r="D44" s="6" t="b">
        <v>0</v>
      </c>
      <c r="E44" s="13">
        <f t="shared" si="0"/>
        <v>0</v>
      </c>
    </row>
    <row r="45" spans="1:5" ht="45" customHeight="1" x14ac:dyDescent="0.35">
      <c r="A45" s="43"/>
      <c r="B45" s="21" t="s">
        <v>48</v>
      </c>
      <c r="C45" s="21"/>
      <c r="D45" s="6" t="b">
        <v>0</v>
      </c>
      <c r="E45" s="13">
        <f t="shared" si="0"/>
        <v>0</v>
      </c>
    </row>
    <row r="46" spans="1:5" ht="45" customHeight="1" x14ac:dyDescent="0.35">
      <c r="A46" s="42" t="s">
        <v>49</v>
      </c>
      <c r="B46" s="21" t="s">
        <v>50</v>
      </c>
      <c r="C46" s="22"/>
      <c r="D46" s="6" t="b">
        <v>0</v>
      </c>
      <c r="E46" s="13">
        <f t="shared" si="0"/>
        <v>0</v>
      </c>
    </row>
    <row r="47" spans="1:5" ht="45" customHeight="1" x14ac:dyDescent="0.35">
      <c r="A47" s="43"/>
      <c r="B47" s="21" t="s">
        <v>51</v>
      </c>
      <c r="C47" s="22"/>
      <c r="D47" s="6" t="b">
        <v>0</v>
      </c>
      <c r="E47" s="13">
        <f t="shared" si="0"/>
        <v>0</v>
      </c>
    </row>
    <row r="48" spans="1:5" ht="45" customHeight="1" x14ac:dyDescent="0.35">
      <c r="A48" s="43"/>
      <c r="B48" s="21" t="s">
        <v>52</v>
      </c>
      <c r="C48" s="21"/>
      <c r="D48" s="6" t="b">
        <v>0</v>
      </c>
      <c r="E48" s="13">
        <f t="shared" si="0"/>
        <v>0</v>
      </c>
    </row>
    <row r="49" spans="1:5" ht="45" customHeight="1" x14ac:dyDescent="0.35">
      <c r="A49" s="43"/>
      <c r="B49" s="21" t="s">
        <v>53</v>
      </c>
      <c r="C49" s="22"/>
      <c r="D49" s="6" t="b">
        <v>0</v>
      </c>
      <c r="E49" s="13">
        <f t="shared" si="0"/>
        <v>0</v>
      </c>
    </row>
    <row r="50" spans="1:5" ht="63.75" customHeight="1" x14ac:dyDescent="0.35">
      <c r="A50" s="43"/>
      <c r="B50" s="21" t="s">
        <v>54</v>
      </c>
      <c r="C50" s="21"/>
      <c r="D50" s="6" t="b">
        <v>0</v>
      </c>
      <c r="E50" s="13">
        <f t="shared" si="0"/>
        <v>0</v>
      </c>
    </row>
    <row r="51" spans="1:5" ht="45" customHeight="1" x14ac:dyDescent="0.35">
      <c r="A51" s="43"/>
      <c r="B51" s="21" t="s">
        <v>55</v>
      </c>
      <c r="C51" s="22"/>
      <c r="D51" s="6" t="b">
        <v>0</v>
      </c>
      <c r="E51" s="13">
        <f t="shared" si="0"/>
        <v>0</v>
      </c>
    </row>
    <row r="52" spans="1:5" ht="45" customHeight="1" x14ac:dyDescent="0.35">
      <c r="A52" s="43"/>
      <c r="B52" s="21" t="s">
        <v>56</v>
      </c>
      <c r="C52" s="22"/>
      <c r="D52" s="6" t="b">
        <v>0</v>
      </c>
      <c r="E52" s="13">
        <f t="shared" si="0"/>
        <v>0</v>
      </c>
    </row>
    <row r="53" spans="1:5" ht="45" customHeight="1" x14ac:dyDescent="0.35">
      <c r="A53" s="43"/>
      <c r="B53" s="21" t="s">
        <v>57</v>
      </c>
      <c r="C53" s="22"/>
      <c r="D53" s="6" t="b">
        <v>0</v>
      </c>
      <c r="E53" s="13">
        <f t="shared" si="0"/>
        <v>0</v>
      </c>
    </row>
    <row r="54" spans="1:5" ht="45" customHeight="1" x14ac:dyDescent="0.35">
      <c r="A54" s="42" t="s">
        <v>58</v>
      </c>
      <c r="B54" s="21" t="s">
        <v>59</v>
      </c>
      <c r="C54" s="22"/>
      <c r="D54" s="6" t="b">
        <v>0</v>
      </c>
      <c r="E54" s="13">
        <f t="shared" si="0"/>
        <v>0</v>
      </c>
    </row>
    <row r="55" spans="1:5" ht="45" customHeight="1" x14ac:dyDescent="0.35">
      <c r="A55" s="43"/>
      <c r="B55" s="21" t="s">
        <v>60</v>
      </c>
      <c r="C55" s="22"/>
      <c r="D55" s="6" t="b">
        <v>0</v>
      </c>
      <c r="E55" s="13">
        <f t="shared" ref="E55:E86" si="1">IF(D55=TRUE, 1, 0)</f>
        <v>0</v>
      </c>
    </row>
    <row r="56" spans="1:5" ht="45" customHeight="1" x14ac:dyDescent="0.35">
      <c r="A56" s="43"/>
      <c r="B56" s="21" t="s">
        <v>61</v>
      </c>
      <c r="C56" s="22"/>
      <c r="D56" s="6" t="b">
        <v>0</v>
      </c>
      <c r="E56" s="13">
        <f t="shared" si="1"/>
        <v>0</v>
      </c>
    </row>
    <row r="57" spans="1:5" ht="45" customHeight="1" x14ac:dyDescent="0.35">
      <c r="A57" s="43"/>
      <c r="B57" s="21" t="s">
        <v>62</v>
      </c>
      <c r="C57" s="22"/>
      <c r="D57" s="6" t="b">
        <v>0</v>
      </c>
      <c r="E57" s="13">
        <f t="shared" si="1"/>
        <v>0</v>
      </c>
    </row>
    <row r="58" spans="1:5" ht="45" customHeight="1" x14ac:dyDescent="0.35">
      <c r="A58" s="43"/>
      <c r="B58" s="21" t="s">
        <v>103</v>
      </c>
      <c r="C58" s="22"/>
      <c r="D58" s="6" t="b">
        <v>0</v>
      </c>
      <c r="E58" s="13">
        <f t="shared" si="1"/>
        <v>0</v>
      </c>
    </row>
    <row r="59" spans="1:5" ht="45" customHeight="1" x14ac:dyDescent="0.35">
      <c r="A59" s="43"/>
      <c r="B59" s="21" t="s">
        <v>100</v>
      </c>
      <c r="C59" s="21"/>
      <c r="D59" s="6" t="b">
        <v>0</v>
      </c>
      <c r="E59" s="13">
        <f t="shared" si="1"/>
        <v>0</v>
      </c>
    </row>
    <row r="60" spans="1:5" ht="45" customHeight="1" x14ac:dyDescent="0.35">
      <c r="A60" s="43"/>
      <c r="B60" s="21" t="s">
        <v>63</v>
      </c>
      <c r="C60" s="22"/>
      <c r="D60" s="6" t="b">
        <v>0</v>
      </c>
      <c r="E60" s="13">
        <f t="shared" si="1"/>
        <v>0</v>
      </c>
    </row>
    <row r="61" spans="1:5" ht="45" customHeight="1" x14ac:dyDescent="0.35">
      <c r="A61" s="43"/>
      <c r="B61" s="21" t="s">
        <v>57</v>
      </c>
      <c r="C61" s="22"/>
      <c r="D61" s="6" t="b">
        <v>0</v>
      </c>
      <c r="E61" s="13">
        <f t="shared" si="1"/>
        <v>0</v>
      </c>
    </row>
    <row r="62" spans="1:5" ht="45" customHeight="1" x14ac:dyDescent="0.35">
      <c r="A62" s="42" t="s">
        <v>64</v>
      </c>
      <c r="B62" s="21" t="s">
        <v>65</v>
      </c>
      <c r="C62" s="22"/>
      <c r="D62" s="6" t="b">
        <v>0</v>
      </c>
      <c r="E62" s="13">
        <f t="shared" si="1"/>
        <v>0</v>
      </c>
    </row>
    <row r="63" spans="1:5" ht="45" customHeight="1" x14ac:dyDescent="0.35">
      <c r="A63" s="43"/>
      <c r="B63" s="21" t="s">
        <v>66</v>
      </c>
      <c r="C63" s="21"/>
      <c r="D63" s="6" t="b">
        <v>0</v>
      </c>
      <c r="E63" s="13">
        <f t="shared" si="1"/>
        <v>0</v>
      </c>
    </row>
    <row r="64" spans="1:5" ht="45" customHeight="1" x14ac:dyDescent="0.35">
      <c r="A64" s="43"/>
      <c r="B64" s="21" t="s">
        <v>67</v>
      </c>
      <c r="C64" s="22"/>
      <c r="D64" s="6" t="b">
        <v>0</v>
      </c>
      <c r="E64" s="13">
        <f t="shared" si="1"/>
        <v>0</v>
      </c>
    </row>
    <row r="65" spans="1:5" ht="45" customHeight="1" x14ac:dyDescent="0.35">
      <c r="A65" s="43"/>
      <c r="B65" s="21" t="s">
        <v>101</v>
      </c>
      <c r="C65" s="22"/>
      <c r="D65" s="6" t="b">
        <v>0</v>
      </c>
      <c r="E65" s="13">
        <f t="shared" si="1"/>
        <v>0</v>
      </c>
    </row>
    <row r="66" spans="1:5" ht="45" customHeight="1" x14ac:dyDescent="0.35">
      <c r="A66" s="43"/>
      <c r="B66" s="21" t="s">
        <v>102</v>
      </c>
      <c r="C66" s="22"/>
      <c r="D66" s="6" t="b">
        <v>0</v>
      </c>
      <c r="E66" s="13">
        <f t="shared" si="1"/>
        <v>0</v>
      </c>
    </row>
    <row r="67" spans="1:5" ht="45" customHeight="1" x14ac:dyDescent="0.35">
      <c r="A67" s="42" t="s">
        <v>68</v>
      </c>
      <c r="B67" s="21" t="s">
        <v>69</v>
      </c>
      <c r="C67" s="22"/>
      <c r="D67" s="6" t="b">
        <v>0</v>
      </c>
      <c r="E67" s="13">
        <f t="shared" si="1"/>
        <v>0</v>
      </c>
    </row>
    <row r="68" spans="1:5" ht="45" customHeight="1" x14ac:dyDescent="0.35">
      <c r="A68" s="43"/>
      <c r="B68" s="21" t="s">
        <v>70</v>
      </c>
      <c r="C68" s="22"/>
      <c r="D68" s="6" t="b">
        <v>0</v>
      </c>
      <c r="E68" s="13">
        <f t="shared" si="1"/>
        <v>0</v>
      </c>
    </row>
    <row r="69" spans="1:5" ht="45" customHeight="1" x14ac:dyDescent="0.35">
      <c r="A69" s="43"/>
      <c r="B69" s="21" t="s">
        <v>71</v>
      </c>
      <c r="C69" s="22"/>
      <c r="D69" s="6" t="b">
        <v>0</v>
      </c>
      <c r="E69" s="13">
        <f t="shared" si="1"/>
        <v>0</v>
      </c>
    </row>
    <row r="70" spans="1:5" ht="45" customHeight="1" x14ac:dyDescent="0.35">
      <c r="A70" s="43"/>
      <c r="B70" s="21" t="s">
        <v>72</v>
      </c>
      <c r="C70" s="22"/>
      <c r="D70" s="6" t="b">
        <v>0</v>
      </c>
      <c r="E70" s="13">
        <f t="shared" si="1"/>
        <v>0</v>
      </c>
    </row>
    <row r="71" spans="1:5" ht="45" customHeight="1" x14ac:dyDescent="0.35">
      <c r="A71" s="43"/>
      <c r="B71" s="21" t="s">
        <v>73</v>
      </c>
      <c r="C71" s="22"/>
      <c r="D71" s="6" t="b">
        <v>0</v>
      </c>
      <c r="E71" s="13">
        <f t="shared" si="1"/>
        <v>0</v>
      </c>
    </row>
    <row r="72" spans="1:5" ht="45" customHeight="1" x14ac:dyDescent="0.35">
      <c r="A72" s="42" t="s">
        <v>74</v>
      </c>
      <c r="B72" s="21" t="s">
        <v>75</v>
      </c>
      <c r="C72" s="22"/>
      <c r="D72" s="6" t="b">
        <v>0</v>
      </c>
      <c r="E72" s="13">
        <f t="shared" si="1"/>
        <v>0</v>
      </c>
    </row>
    <row r="73" spans="1:5" ht="45" customHeight="1" x14ac:dyDescent="0.35">
      <c r="A73" s="43"/>
      <c r="B73" s="21" t="s">
        <v>76</v>
      </c>
      <c r="C73" s="22"/>
      <c r="D73" s="6" t="b">
        <v>0</v>
      </c>
      <c r="E73" s="13">
        <f t="shared" si="1"/>
        <v>0</v>
      </c>
    </row>
    <row r="74" spans="1:5" ht="45" customHeight="1" x14ac:dyDescent="0.35">
      <c r="A74" s="43"/>
      <c r="B74" s="21" t="s">
        <v>77</v>
      </c>
      <c r="C74" s="22"/>
      <c r="D74" s="6" t="b">
        <v>0</v>
      </c>
      <c r="E74" s="13">
        <f t="shared" si="1"/>
        <v>0</v>
      </c>
    </row>
    <row r="75" spans="1:5" ht="45" customHeight="1" x14ac:dyDescent="0.35">
      <c r="A75" s="43"/>
      <c r="B75" s="21" t="s">
        <v>78</v>
      </c>
      <c r="C75" s="22"/>
      <c r="D75" s="6" t="b">
        <v>0</v>
      </c>
      <c r="E75" s="13">
        <f t="shared" si="1"/>
        <v>0</v>
      </c>
    </row>
    <row r="76" spans="1:5" x14ac:dyDescent="0.35">
      <c r="A76" s="33" t="s">
        <v>79</v>
      </c>
      <c r="B76" s="34"/>
      <c r="C76" s="34"/>
      <c r="D76" s="35"/>
      <c r="E76" s="3">
        <f>IF(SUM(E23:E75)&lt;((ROWS(E23:E75)/4)*3), 0, 10 + (SUM(E23:E75)-((ROWS(E23:E75)/4)*3)) * (10/(ROWS(E23:E75)-((ROWS(E23:E75)/4)*3))))</f>
        <v>0</v>
      </c>
    </row>
    <row r="77" spans="1:5" ht="30" customHeight="1" x14ac:dyDescent="0.35">
      <c r="A77" s="36"/>
      <c r="B77" s="37"/>
      <c r="C77" s="37"/>
      <c r="D77" s="37"/>
      <c r="E77" s="38"/>
    </row>
    <row r="78" spans="1:5" ht="24.9" customHeight="1" x14ac:dyDescent="0.35">
      <c r="A78" s="39" t="s">
        <v>80</v>
      </c>
      <c r="B78" s="30"/>
      <c r="C78" s="30"/>
      <c r="D78" s="31"/>
      <c r="E78" s="31"/>
    </row>
    <row r="79" spans="1:5" ht="30" customHeight="1" x14ac:dyDescent="0.35">
      <c r="A79" s="77" t="s">
        <v>81</v>
      </c>
      <c r="B79" s="45"/>
      <c r="C79" s="45"/>
      <c r="D79" s="46"/>
      <c r="E79" s="46"/>
    </row>
    <row r="80" spans="1:5" x14ac:dyDescent="0.35">
      <c r="A80" s="5" t="s">
        <v>14</v>
      </c>
      <c r="B80" s="47" t="s">
        <v>82</v>
      </c>
      <c r="C80" s="48"/>
      <c r="D80" s="31"/>
      <c r="E80" s="2" t="s">
        <v>26</v>
      </c>
    </row>
    <row r="81" spans="1:5" ht="60" customHeight="1" x14ac:dyDescent="0.35">
      <c r="A81" s="12" t="s">
        <v>83</v>
      </c>
      <c r="B81" s="32" t="s">
        <v>84</v>
      </c>
      <c r="C81" s="30"/>
      <c r="D81" s="31"/>
      <c r="E81" s="15">
        <v>0</v>
      </c>
    </row>
    <row r="82" spans="1:5" ht="60" customHeight="1" x14ac:dyDescent="0.35">
      <c r="A82" s="11" t="s">
        <v>85</v>
      </c>
      <c r="B82" s="29" t="s">
        <v>86</v>
      </c>
      <c r="C82" s="30"/>
      <c r="D82" s="31"/>
      <c r="E82" s="16">
        <v>0</v>
      </c>
    </row>
    <row r="83" spans="1:5" ht="60" customHeight="1" x14ac:dyDescent="0.35">
      <c r="A83" s="12" t="s">
        <v>87</v>
      </c>
      <c r="B83" s="32" t="s">
        <v>88</v>
      </c>
      <c r="C83" s="30"/>
      <c r="D83" s="31"/>
      <c r="E83" s="17">
        <v>0</v>
      </c>
    </row>
    <row r="84" spans="1:5" x14ac:dyDescent="0.35">
      <c r="A84" s="33" t="s">
        <v>89</v>
      </c>
      <c r="B84" s="34"/>
      <c r="C84" s="34"/>
      <c r="D84" s="35"/>
      <c r="E84" s="4">
        <f>SUM(E81:E83)</f>
        <v>0</v>
      </c>
    </row>
    <row r="85" spans="1:5" ht="30" customHeight="1" x14ac:dyDescent="0.35">
      <c r="A85" s="36"/>
      <c r="B85" s="37"/>
      <c r="C85" s="37"/>
      <c r="D85" s="37"/>
      <c r="E85" s="38"/>
    </row>
    <row r="86" spans="1:5" ht="24.9" customHeight="1" x14ac:dyDescent="0.35">
      <c r="A86" s="39" t="s">
        <v>90</v>
      </c>
      <c r="B86" s="30"/>
      <c r="C86" s="30"/>
      <c r="D86" s="31"/>
      <c r="E86" s="31"/>
    </row>
    <row r="87" spans="1:5" ht="45" customHeight="1" x14ac:dyDescent="0.35">
      <c r="A87" s="40" t="s">
        <v>91</v>
      </c>
      <c r="B87" s="40"/>
      <c r="C87" s="40"/>
      <c r="D87" s="41"/>
      <c r="E87" s="41"/>
    </row>
    <row r="88" spans="1:5" x14ac:dyDescent="0.35">
      <c r="A88" s="26" t="s">
        <v>92</v>
      </c>
      <c r="B88" s="27"/>
      <c r="C88" s="27"/>
      <c r="D88" s="28"/>
      <c r="E88" s="2" t="s">
        <v>26</v>
      </c>
    </row>
    <row r="89" spans="1:5" x14ac:dyDescent="0.35">
      <c r="A89" s="27" t="s">
        <v>93</v>
      </c>
      <c r="B89" s="27"/>
      <c r="C89" s="27"/>
      <c r="D89" s="28"/>
      <c r="E89" s="19">
        <f>E76</f>
        <v>0</v>
      </c>
    </row>
    <row r="90" spans="1:5" x14ac:dyDescent="0.35">
      <c r="A90" s="27" t="s">
        <v>94</v>
      </c>
      <c r="B90" s="27"/>
      <c r="C90" s="27"/>
      <c r="D90" s="28"/>
      <c r="E90" s="18">
        <f>E84</f>
        <v>0</v>
      </c>
    </row>
    <row r="91" spans="1:5" x14ac:dyDescent="0.35">
      <c r="A91" s="26" t="s">
        <v>95</v>
      </c>
      <c r="B91" s="27"/>
      <c r="C91" s="27"/>
      <c r="D91" s="28"/>
      <c r="E91" s="20">
        <f>IF(NOT(COUNTIF(D14:D18, TRUE)=ROWS(D14:D18)), 0, IF(OR(E89&lt;10,E90&lt;10), 7, ROUND((E89+E90)/2,0)))</f>
        <v>0</v>
      </c>
    </row>
  </sheetData>
  <sheetProtection algorithmName="SHA-512" hashValue="Suidna2Uw2dlCy5Oot1r83hJrl4N2S4R22xY9Pu87O5Ucy53hb7M2pPSTCqQiFj3wSx+XbKcELEuPQYuqR/llQ==" saltValue="DB4TkqIKngPdaMJnelS71w==" spinCount="100000" sheet="1" objects="1" scenarios="1" selectLockedCells="1" selectUnlockedCells="1"/>
  <mergeCells count="48">
    <mergeCell ref="A1:E1"/>
    <mergeCell ref="A2:E2"/>
    <mergeCell ref="A3:E3"/>
    <mergeCell ref="B4:C4"/>
    <mergeCell ref="D4:E8"/>
    <mergeCell ref="B5:C5"/>
    <mergeCell ref="B6:C6"/>
    <mergeCell ref="B7:C7"/>
    <mergeCell ref="B8:C8"/>
    <mergeCell ref="B9:C9"/>
    <mergeCell ref="A10:E10"/>
    <mergeCell ref="A11:E11"/>
    <mergeCell ref="A12:E12"/>
    <mergeCell ref="B13:C13"/>
    <mergeCell ref="E13:E18"/>
    <mergeCell ref="B14:C14"/>
    <mergeCell ref="B15:C15"/>
    <mergeCell ref="B16:C16"/>
    <mergeCell ref="B17:C17"/>
    <mergeCell ref="A67:A71"/>
    <mergeCell ref="B18:C18"/>
    <mergeCell ref="A19:E19"/>
    <mergeCell ref="A20:E20"/>
    <mergeCell ref="A21:E21"/>
    <mergeCell ref="A23:A27"/>
    <mergeCell ref="A28:A30"/>
    <mergeCell ref="A31:A38"/>
    <mergeCell ref="A39:A45"/>
    <mergeCell ref="A46:A53"/>
    <mergeCell ref="A54:A61"/>
    <mergeCell ref="A62:A66"/>
    <mergeCell ref="A86:E86"/>
    <mergeCell ref="A72:A75"/>
    <mergeCell ref="A76:D76"/>
    <mergeCell ref="A77:E77"/>
    <mergeCell ref="A78:E78"/>
    <mergeCell ref="A79:E79"/>
    <mergeCell ref="B80:D80"/>
    <mergeCell ref="B81:D81"/>
    <mergeCell ref="B82:D82"/>
    <mergeCell ref="B83:D83"/>
    <mergeCell ref="A84:D84"/>
    <mergeCell ref="A85:E85"/>
    <mergeCell ref="A87:E87"/>
    <mergeCell ref="A88:D88"/>
    <mergeCell ref="A89:D89"/>
    <mergeCell ref="A90:D90"/>
    <mergeCell ref="A91:D91"/>
  </mergeCells>
  <conditionalFormatting sqref="A19:E19">
    <cfRule type="expression" dxfId="0" priority="1">
      <formula>NOT(COUNTIF(D14:D18, TRUE)=ROWS(D14:D18))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CA122DF330504E8DDF1118C388620A" ma:contentTypeVersion="17" ma:contentTypeDescription="Crée un document." ma:contentTypeScope="" ma:versionID="681e69bd6dc47f7f26d95e867675558d">
  <xsd:schema xmlns:xsd="http://www.w3.org/2001/XMLSchema" xmlns:xs="http://www.w3.org/2001/XMLSchema" xmlns:p="http://schemas.microsoft.com/office/2006/metadata/properties" xmlns:ns2="0a342697-6111-499e-81c9-b1da37191110" xmlns:ns3="f0b5bed9-8d01-41b1-a1e6-aae57005c40e" targetNamespace="http://schemas.microsoft.com/office/2006/metadata/properties" ma:root="true" ma:fieldsID="73d69eb1ee2ec29fab0ed32de80a620e" ns2:_="" ns3:_="">
    <xsd:import namespace="0a342697-6111-499e-81c9-b1da37191110"/>
    <xsd:import namespace="f0b5bed9-8d01-41b1-a1e6-aae57005c4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rdr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42697-6111-499e-81c9-b1da37191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rdre" ma:index="10" nillable="true" ma:displayName="Ordre" ma:decimals="0" ma:internalName="Ordre">
      <xsd:simpleType>
        <xsd:restriction base="dms:Number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0b6a2ec7-4460-416d-86cb-abc62d7adb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5bed9-8d01-41b1-a1e6-aae57005c40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1233e63-c795-435f-b521-72035c69e17b}" ma:internalName="TaxCatchAll" ma:showField="CatchAllData" ma:web="f0b5bed9-8d01-41b1-a1e6-aae57005c4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re xmlns="0a342697-6111-499e-81c9-b1da37191110" xsi:nil="true"/>
    <lcf76f155ced4ddcb4097134ff3c332f xmlns="0a342697-6111-499e-81c9-b1da37191110">
      <Terms xmlns="http://schemas.microsoft.com/office/infopath/2007/PartnerControls"/>
    </lcf76f155ced4ddcb4097134ff3c332f>
    <TaxCatchAll xmlns="f0b5bed9-8d01-41b1-a1e6-aae57005c4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163D9F-0266-4C1D-B3B1-749FB2466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342697-6111-499e-81c9-b1da37191110"/>
    <ds:schemaRef ds:uri="f0b5bed9-8d01-41b1-a1e6-aae57005c4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7B3D06-1D9A-4EE7-9073-1F1252C1E3A2}">
  <ds:schemaRefs>
    <ds:schemaRef ds:uri="http://purl.org/dc/terms/"/>
    <ds:schemaRef ds:uri="http://schemas.openxmlformats.org/package/2006/metadata/core-properties"/>
    <ds:schemaRef ds:uri="0a342697-6111-499e-81c9-b1da37191110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f0b5bed9-8d01-41b1-a1e6-aae57005c40e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3342C72-BEEC-4D80-84E2-4DFF22CD4D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Grille EVAL_V1 ETUDIANT</vt:lpstr>
      <vt:lpstr>Grille EVAL_V1 PROF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Bastin</cp:lastModifiedBy>
  <cp:revision/>
  <dcterms:created xsi:type="dcterms:W3CDTF">2025-10-17T19:40:52Z</dcterms:created>
  <dcterms:modified xsi:type="dcterms:W3CDTF">2025-12-10T22:05:45Z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0x010100A5CA122DF330504E8DDF1118C388620A</vt:lpwstr>
  </property>
  <property fmtid="{D5CDD505-2E9C-101B-9397-08002B2CF9AE}" pid="3" name="MediaServiceImageTags">
    <vt:lpwstr/>
  </property>
</Properties>
</file>